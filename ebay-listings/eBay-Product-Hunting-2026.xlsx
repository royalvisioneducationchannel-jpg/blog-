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ttings" sheetId="2" state="visible" r:id="rId4"/>
    <sheet name="Hunting" sheetId="3" state="visible" r:id="rId5"/>
    <sheet name="Read Me" sheetId="4" state="visible" r:id="rId6"/>
  </sheets>
  <definedNames>
    <definedName function="false" hidden="true" localSheetId="2" name="_xlnm._FilterDatabase" vbProcedure="false">Hunting!$A$4:$AK$204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4" authorId="0">
      <text>
        <r>
          <rPr>
            <sz val="10"/>
            <rFont val="Arial"/>
            <family val="2"/>
          </rPr>
          <t xml:space="preserve">Promoted Listings General ad rate. Leave blank to use the default from Settings.</t>
        </r>
      </text>
    </comment>
    <comment ref="N4" authorId="0">
      <text>
        <r>
          <rPr>
            <sz val="10"/>
            <rFont val="Arial"/>
            <family val="2"/>
          </rPr>
          <t xml:space="preserve">Only fill if your category has a different final value fee (e.g. books 15.3%).</t>
        </r>
      </text>
    </comment>
    <comment ref="AG4" authorId="0">
      <text>
        <r>
          <rPr>
            <sz val="10"/>
            <rFont val="Arial"/>
            <family val="2"/>
          </rPr>
          <t xml:space="preserve">Lowest item price with zero profit (withdrawal fee approximated, so slightly safe).</t>
        </r>
      </text>
    </comment>
    <comment ref="AI4" authorId="0">
      <text>
        <r>
          <rPr>
            <sz val="10"/>
            <rFont val="Arial"/>
            <family val="2"/>
          </rPr>
          <t xml:space="preserve">eBay drop shipping policy: you may only drop ship from wholesale suppliers, not retail sites like Amazon, Walmart or AliExpress.</t>
        </r>
      </text>
    </comment>
  </commentList>
</comments>
</file>

<file path=xl/sharedStrings.xml><?xml version="1.0" encoding="utf-8"?>
<sst xmlns="http://schemas.openxmlformats.org/spreadsheetml/2006/main" count="131" uniqueCount="124">
  <si>
    <t xml:space="preserve">eBay Hunting Dashboard</t>
  </si>
  <si>
    <t xml:space="preserve">Updates automatically from the Hunting tab.</t>
  </si>
  <si>
    <t xml:space="preserve">Products tracked</t>
  </si>
  <si>
    <t xml:space="preserve">✅ GO</t>
  </si>
  <si>
    <t xml:space="preserve">⚠ CHECK</t>
  </si>
  <si>
    <t xml:space="preserve">❌ SKIP</t>
  </si>
  <si>
    <t xml:space="preserve">Avg profit (GO) $</t>
  </si>
  <si>
    <t xml:space="preserve">Avg ROI (all)</t>
  </si>
  <si>
    <t xml:space="preserve">Best profit $</t>
  </si>
  <si>
    <t xml:space="preserve">Retail-source warnings</t>
  </si>
  <si>
    <t xml:space="preserve">Top 5 products by net profit</t>
  </si>
  <si>
    <t xml:space="preserve">Rank</t>
  </si>
  <si>
    <t xml:space="preserve">Product</t>
  </si>
  <si>
    <t xml:space="preserve">Net Profit $</t>
  </si>
  <si>
    <t xml:space="preserve">ROI %</t>
  </si>
  <si>
    <t xml:space="preserve">Status</t>
  </si>
  <si>
    <t xml:space="preserve">eBay Fee Settings (US, 2026)</t>
  </si>
  <si>
    <t xml:space="preserve">Yellow cells are inputs. Change them here and every product in the Hunting sheet updates.</t>
  </si>
  <si>
    <t xml:space="preserve">Setting</t>
  </si>
  <si>
    <t xml:space="preserve">Value</t>
  </si>
  <si>
    <t xml:space="preserve">Note / source</t>
  </si>
  <si>
    <t xml:space="preserve">Final value fee (most categories)</t>
  </si>
  <si>
    <t xml:space="preserve">eBay US, no Store / Starter Store: 13.6% on first $7,500. Some categories differ (books 15.3%, jewellery 15%) — use the FVF override column. Source: frooition.com/ebay-fee-calculator, sellerfeecalc.com (Oct 2026).</t>
  </si>
  <si>
    <t xml:space="preserve">Per-order fee (order ≤ threshold)</t>
  </si>
  <si>
    <t xml:space="preserve">eBay per-order fee for orders of $10 or less.</t>
  </si>
  <si>
    <t xml:space="preserve">Per-order fee (order &gt; threshold)</t>
  </si>
  <si>
    <t xml:space="preserve">eBay per-order fee for orders over $10.</t>
  </si>
  <si>
    <t xml:space="preserve">Per-order fee threshold</t>
  </si>
  <si>
    <t xml:space="preserve">Order total (incl. tax) at which the per-order fee switches.</t>
  </si>
  <si>
    <t xml:space="preserve">International fee</t>
  </si>
  <si>
    <t xml:space="preserve">Charged on international sales. Sources report 1.65%; confirm on eBay Seller Hub.</t>
  </si>
  <si>
    <t xml:space="preserve">Average US sales tax</t>
  </si>
  <si>
    <t xml:space="preserve">Assumption. eBay charges its % fees on the total incl. sales tax.</t>
  </si>
  <si>
    <t xml:space="preserve">Default ad rate (Promoted General)</t>
  </si>
  <si>
    <t xml:space="preserve">Assumption. Used when a row leaves Ad Rate blank.</t>
  </si>
  <si>
    <t xml:space="preserve">Payout / withdrawal fee</t>
  </si>
  <si>
    <t xml:space="preserve">Assumption for Payoneer/bank withdrawal. Set to your real rate.</t>
  </si>
  <si>
    <t xml:space="preserve">Returns &amp; loss reserve</t>
  </si>
  <si>
    <t xml:space="preserve">Assumption: money set aside per sale for returns, refunds, damage.</t>
  </si>
  <si>
    <t xml:space="preserve">USD → PKR rate</t>
  </si>
  <si>
    <t xml:space="preserve">Assumption. Update to today's rate.</t>
  </si>
  <si>
    <t xml:space="preserve">Minimum profit per sale</t>
  </si>
  <si>
    <t xml:space="preserve">Your rule: a product needs at least this profit to be GO.</t>
  </si>
  <si>
    <t xml:space="preserve">Minimum ROI</t>
  </si>
  <si>
    <t xml:space="preserve">Your rule: profit ÷ cost must be at least this to be GO.</t>
  </si>
  <si>
    <t xml:space="preserve">Minimum sell-through</t>
  </si>
  <si>
    <t xml:space="preserve">Your rule: sold ÷ (sold + active) — demand check. Leave sold/active blank to skip.</t>
  </si>
  <si>
    <t xml:space="preserve">eBay Product Hunting Sheet — 2026</t>
  </si>
  <si>
    <t xml:space="preserve">Fill the YELLOW columns only. Grey columns calculate automatically from the Settings tab. Fees: US 2026 (13.6% FVF + $0.30/$0.40 per order, charged on total incl. sales tax).</t>
  </si>
  <si>
    <t xml:space="preserve">PRODUCT</t>
  </si>
  <si>
    <t xml:space="preserve">COST</t>
  </si>
  <si>
    <t xml:space="preserve">SELLING</t>
  </si>
  <si>
    <t xml:space="preserve">MARKET</t>
  </si>
  <si>
    <t xml:space="preserve">EBAY FEES</t>
  </si>
  <si>
    <t xml:space="preserve">PROFIT</t>
  </si>
  <si>
    <t xml:space="preserve">PRICING</t>
  </si>
  <si>
    <t xml:space="preserve">DECISION</t>
  </si>
  <si>
    <t xml:space="preserve">#</t>
  </si>
  <si>
    <t xml:space="preserve">Product Name</t>
  </si>
  <si>
    <t xml:space="preserve">Source Site</t>
  </si>
  <si>
    <t xml:space="preserve">Source Link</t>
  </si>
  <si>
    <t xml:space="preserve">eBay Link (sold comp)</t>
  </si>
  <si>
    <t xml:space="preserve">Category</t>
  </si>
  <si>
    <t xml:space="preserve">Source Price $</t>
  </si>
  <si>
    <t xml:space="preserve">Source Shipping $</t>
  </si>
  <si>
    <t xml:space="preserve">Other Cost $</t>
  </si>
  <si>
    <t xml:space="preserve">Total Cost $</t>
  </si>
  <si>
    <t xml:space="preserve">eBay Sale Price $</t>
  </si>
  <si>
    <t xml:space="preserve">Shipping Charged $</t>
  </si>
  <si>
    <t xml:space="preserve">Ad Rate % (blank = default)</t>
  </si>
  <si>
    <t xml:space="preserve">FVF % override</t>
  </si>
  <si>
    <t xml:space="preserve">Intl Sale? (Y/N)</t>
  </si>
  <si>
    <t xml:space="preserve">Sold Last 30 Days</t>
  </si>
  <si>
    <t xml:space="preserve">Active Competitors</t>
  </si>
  <si>
    <t xml:space="preserve">Sell-Through %</t>
  </si>
  <si>
    <t xml:space="preserve">Order Total $</t>
  </si>
  <si>
    <t xml:space="preserve">Est. Sales Tax $</t>
  </si>
  <si>
    <t xml:space="preserve">Final Value Fee $</t>
  </si>
  <si>
    <t xml:space="preserve">Per-Order Fee $</t>
  </si>
  <si>
    <t xml:space="preserve">Intl Fee $</t>
  </si>
  <si>
    <t xml:space="preserve">Ad Fee $</t>
  </si>
  <si>
    <t xml:space="preserve">Total eBay Fees $</t>
  </si>
  <si>
    <t xml:space="preserve">eBay Payout $</t>
  </si>
  <si>
    <t xml:space="preserve">Withdrawal Fee $</t>
  </si>
  <si>
    <t xml:space="preserve">Returns Reserve $</t>
  </si>
  <si>
    <t xml:space="preserve">NET PROFIT $</t>
  </si>
  <si>
    <t xml:space="preserve">Net Profit PKR</t>
  </si>
  <si>
    <t xml:space="preserve">Margin %</t>
  </si>
  <si>
    <t xml:space="preserve">Break-even Price $</t>
  </si>
  <si>
    <t xml:space="preserve">Price for Min Profit $</t>
  </si>
  <si>
    <t xml:space="preserve">Source Check</t>
  </si>
  <si>
    <t xml:space="preserve">STATUS</t>
  </si>
  <si>
    <t xml:space="preserve">Note</t>
  </si>
  <si>
    <t xml:space="preserve">Scott Paper Towels, Choose-A-Sheet</t>
  </si>
  <si>
    <t xml:space="preserve">Amazon</t>
  </si>
  <si>
    <t xml:space="preserve">https://www.amazon.com/</t>
  </si>
  <si>
    <t xml:space="preserve">https://www.ebay.com/</t>
  </si>
  <si>
    <t xml:space="preserve">Household</t>
  </si>
  <si>
    <t xml:space="preserve">N</t>
  </si>
  <si>
    <t xml:space="preserve">EXAMPLE from your sheet — retail source</t>
  </si>
  <si>
    <t xml:space="preserve">Kitchen Sink Sponge Holder, Stainless</t>
  </si>
  <si>
    <t xml:space="preserve">Alibaba</t>
  </si>
  <si>
    <t xml:space="preserve">https://www.alibaba.com/</t>
  </si>
  <si>
    <t xml:space="preserve">Kitchen Storage</t>
  </si>
  <si>
    <t xml:space="preserve">EXAMPLE — replace with your own</t>
  </si>
  <si>
    <t xml:space="preserve">Stainless Steel Lemon Squeezer</t>
  </si>
  <si>
    <t xml:space="preserve">Manual Juicers</t>
  </si>
  <si>
    <t xml:space="preserve">EXAMPLE — category blocked for PK accounts</t>
  </si>
  <si>
    <t xml:space="preserve">How to use</t>
  </si>
  <si>
    <t xml:space="preserve">1. Hunting tab: add one product per row. Fill only the YELLOW columns (blue text).</t>
  </si>
  <si>
    <t xml:space="preserve">2. Grey columns calculate fees, profit, ROI, break-even price and a GO / CHECK / SKIP status.</t>
  </si>
  <si>
    <t xml:space="preserve">3. Settings tab: change fee rates, tax, ad rate, PKR rate and your GO rules in one place.</t>
  </si>
  <si>
    <t xml:space="preserve">4. Dashboard tab: totals and the top 5 products by profit. Delete the 3 example rows when you start.</t>
  </si>
  <si>
    <t xml:space="preserve">What the status means</t>
  </si>
  <si>
    <t xml:space="preserve">✅ GO — profit ≥ minimum, ROI ≥ minimum, sell-through ≥ minimum (if you entered sold/active), and the source is allowed.</t>
  </si>
  <si>
    <t xml:space="preserve">⚠ CHECK — profitable, but below one of your rules. Look again at price, cost or demand.</t>
  </si>
  <si>
    <t xml:space="preserve">❌ SKIP — loss, or the source is a retail site that eBay does not allow for drop shipping.</t>
  </si>
  <si>
    <t xml:space="preserve">eBay rules to remember (2026)</t>
  </si>
  <si>
    <t xml:space="preserve">• Drop shipping is only allowed from WHOLESALE suppliers. Buying from Amazon, Walmart, AliExpress or Temu and shipping to the buyer is not allowed.</t>
  </si>
  <si>
    <t xml:space="preserve">• A Pakistan-registered account cannot list items located outside Pakistan without eBay approval (error e301005). Item location must be true.</t>
  </si>
  <si>
    <t xml:space="preserve">• Some categories are blocked for new Pakistan accounts (high-risk category policy). Start a draft to check before you buy stock.</t>
  </si>
  <si>
    <t xml:space="preserve">• Check VeRO: never list branded items you are not authorised to sell.</t>
  </si>
  <si>
    <t xml:space="preserve">Fee sources (checked Oct 2026 — confirm on eBay Seller Hub, rates can change)</t>
  </si>
  <si>
    <t xml:space="preserve">frooition.com/ebay-fee-calculator · sellerfeecalc.com/ebay-fees/final-value-fee · flowlister.com/blog/ebay-final-value-fees-explained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</si>
</sst>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$#,##0.00;[RED]&quot;-$&quot;#,##0.00;\-"/>
    <numFmt numFmtId="167" formatCode="0.0%;[RED]\-0.0%;\-"/>
    <numFmt numFmtId="168" formatCode="#,##0.00"/>
    <numFmt numFmtId="169" formatCode="General"/>
    <numFmt numFmtId="170" formatCode="&quot;Rs &quot;#,##0;[RED]&quot;-Rs &quot;#,##0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E2140"/>
      <name val="Arial"/>
      <family val="0"/>
      <charset val="1"/>
    </font>
    <font>
      <i val="true"/>
      <sz val="10"/>
      <color rgb="FF5A5F73"/>
      <name val="Arial"/>
      <family val="0"/>
      <charset val="1"/>
    </font>
    <font>
      <b val="true"/>
      <sz val="10"/>
      <color rgb="FF5A5F73"/>
      <name val="Arial"/>
      <family val="0"/>
      <charset val="1"/>
    </font>
    <font>
      <b val="true"/>
      <sz val="22"/>
      <color rgb="FF1E2140"/>
      <name val="Arial"/>
      <family val="0"/>
      <charset val="1"/>
    </font>
    <font>
      <b val="true"/>
      <sz val="13"/>
      <color rgb="FF1E21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E214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5A5F73"/>
      <name val="Arial"/>
      <family val="0"/>
      <charset val="1"/>
    </font>
    <font>
      <b val="true"/>
      <sz val="18"/>
      <color rgb="FF1E21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2"/>
      <color rgb="FF1E214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6F1E9"/>
        <bgColor rgb="FFF3F4F7"/>
      </patternFill>
    </fill>
    <fill>
      <patternFill patternType="solid">
        <fgColor rgb="FF1E2140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6B4E2E"/>
        <bgColor rgb="FF5A5F73"/>
      </patternFill>
    </fill>
    <fill>
      <patternFill patternType="solid">
        <fgColor rgb="FF2E5E4E"/>
        <bgColor rgb="FF3D5A80"/>
      </patternFill>
    </fill>
    <fill>
      <patternFill patternType="solid">
        <fgColor rgb="FF3D5A80"/>
        <bgColor rgb="FF5A5F73"/>
      </patternFill>
    </fill>
    <fill>
      <patternFill patternType="solid">
        <fgColor rgb="FF9B2C2C"/>
        <bgColor rgb="FF993366"/>
      </patternFill>
    </fill>
    <fill>
      <patternFill patternType="solid">
        <fgColor rgb="FF1F7A3A"/>
        <bgColor rgb="FF2E5E4E"/>
      </patternFill>
    </fill>
    <fill>
      <patternFill patternType="solid">
        <fgColor rgb="FF5B3A8C"/>
        <bgColor rgb="FF5A5F73"/>
      </patternFill>
    </fill>
    <fill>
      <patternFill patternType="solid">
        <fgColor rgb="FFB8925A"/>
        <bgColor rgb="FF808080"/>
      </patternFill>
    </fill>
    <fill>
      <patternFill patternType="solid">
        <fgColor rgb="FFF3F4F7"/>
        <bgColor rgb="FFF6F1E9"/>
      </patternFill>
    </fill>
    <fill>
      <patternFill patternType="solid">
        <fgColor rgb="FFFFF8DC"/>
        <bgColor rgb="FFF6F1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  <border diagonalUp="false" diagonalDown="false">
      <left style="thin">
        <color rgb="FFD9DCE3"/>
      </left>
      <right/>
      <top style="thin">
        <color rgb="FFD9DCE3"/>
      </top>
      <bottom style="thin">
        <color rgb="FFD9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7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7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7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E2140"/>
          <bgColor rgb="FF000000"/>
        </patternFill>
      </fill>
    </dxf>
    <dxf>
      <fill>
        <patternFill patternType="solid">
          <fgColor rgb="FFF3F4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B4E2E"/>
          <bgColor rgb="FF000000"/>
        </patternFill>
      </fill>
    </dxf>
    <dxf>
      <fill>
        <patternFill patternType="solid">
          <fgColor rgb="FF2E5E4E"/>
          <bgColor rgb="FF000000"/>
        </patternFill>
      </fill>
    </dxf>
    <dxf>
      <fill>
        <patternFill patternType="solid">
          <fgColor rgb="FF3D5A80"/>
          <bgColor rgb="FF000000"/>
        </patternFill>
      </fill>
    </dxf>
    <dxf>
      <fill>
        <patternFill patternType="solid">
          <fgColor rgb="FF9B2C2C"/>
          <bgColor rgb="FF000000"/>
        </patternFill>
      </fill>
    </dxf>
    <dxf>
      <fill>
        <patternFill patternType="solid">
          <fgColor rgb="FF1F7A3A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5B3A8C"/>
          <bgColor rgb="FF000000"/>
        </patternFill>
      </fill>
    </dxf>
    <dxf>
      <fill>
        <patternFill patternType="solid">
          <fgColor rgb="FFB8925A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1F7A3A"/>
      <rgbColor rgb="FFC0C0C0"/>
      <rgbColor rgb="FF808080"/>
      <rgbColor rgb="FF9999FF"/>
      <rgbColor rgb="FF6B4E2E"/>
      <rgbColor rgb="FFFFF8DC"/>
      <rgbColor rgb="FFF3F4F7"/>
      <rgbColor rgb="FF660066"/>
      <rgbColor rgb="FFFF8080"/>
      <rgbColor rgb="FF3D5A80"/>
      <rgbColor rgb="FFD9DCE3"/>
      <rgbColor rgb="FF000080"/>
      <rgbColor rgb="FFFF00FF"/>
      <rgbColor rgb="FFFFFF00"/>
      <rgbColor rgb="FF00FFFF"/>
      <rgbColor rgb="FF800080"/>
      <rgbColor rgb="FF800000"/>
      <rgbColor rgb="FF2E5E4E"/>
      <rgbColor rgb="FF0000FF"/>
      <rgbColor rgb="FF00CCFF"/>
      <rgbColor rgb="FFF6F1E9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A5F73"/>
      <rgbColor rgb="FFB8925A"/>
      <rgbColor rgb="FF003366"/>
      <rgbColor rgb="FF339966"/>
      <rgbColor rgb="FF003300"/>
      <rgbColor rgb="FF333300"/>
      <rgbColor rgb="FF9B2C2C"/>
      <rgbColor rgb="FF993366"/>
      <rgbColor rgb="FF5B3A8C"/>
      <rgbColor rgb="FF1E21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7" min="7" style="0" width="3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14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3" t="s">
        <v>3</v>
      </c>
      <c r="F5" s="3" t="s">
        <v>4</v>
      </c>
      <c r="H5" s="3" t="s">
        <v>5</v>
      </c>
    </row>
    <row r="6" customFormat="false" ht="33.75" hidden="false" customHeight="true" outlineLevel="0" collapsed="false">
      <c r="B6" s="4" t="n">
        <f aca="false">COUNTA(Hunting!B5:B204)</f>
        <v>3</v>
      </c>
      <c r="D6" s="4" t="n">
        <f aca="false">COUNTIF(Hunting!AJ5:AJ204,"✅ GO")</f>
        <v>1</v>
      </c>
      <c r="F6" s="4" t="n">
        <f aca="false">COUNTIF(Hunting!AJ5:AJ204,"⚠ CHECK")</f>
        <v>1</v>
      </c>
      <c r="H6" s="4" t="n">
        <f aca="false">COUNTIF(Hunting!AJ5:AJ204,"❌ SKIP")</f>
        <v>1</v>
      </c>
    </row>
    <row r="9" customFormat="false" ht="15" hidden="false" customHeight="false" outlineLevel="0" collapsed="false">
      <c r="B9" s="3" t="s">
        <v>6</v>
      </c>
      <c r="D9" s="3" t="s">
        <v>7</v>
      </c>
      <c r="F9" s="3" t="s">
        <v>8</v>
      </c>
      <c r="H9" s="3" t="s">
        <v>9</v>
      </c>
    </row>
    <row r="10" customFormat="false" ht="33.75" hidden="false" customHeight="true" outlineLevel="0" collapsed="false">
      <c r="B10" s="5" t="n">
        <f aca="false">IFERROR(AVERAGEIF(Hunting!AJ5:AJ204,"✅ GO",Hunting!AC5:AC204),0)</f>
        <v>7.279282438</v>
      </c>
      <c r="D10" s="6" t="n">
        <f aca="false">IFERROR(AVERAGE(Hunting!AF5:AF204),0)</f>
        <v>0.560231904925597</v>
      </c>
      <c r="F10" s="5" t="n">
        <f aca="false">IFERROR(MAX(Hunting!AC5:AC204),0)</f>
        <v>7.279282438</v>
      </c>
      <c r="H10" s="4" t="n">
        <f aca="false">COUNTIF(Hunting!AI5:AI204,"⚠*")</f>
        <v>1</v>
      </c>
    </row>
    <row r="14" customFormat="false" ht="16.15" hidden="false" customHeight="false" outlineLevel="0" collapsed="false">
      <c r="B14" s="7" t="s">
        <v>10</v>
      </c>
    </row>
    <row r="15" customFormat="false" ht="15" hidden="false" customHeight="false" outlineLevel="0" collapsed="false">
      <c r="B15" s="8" t="s">
        <v>11</v>
      </c>
      <c r="C15" s="9" t="s">
        <v>12</v>
      </c>
      <c r="D15" s="9"/>
      <c r="E15" s="9"/>
      <c r="F15" s="9"/>
      <c r="G15" s="9"/>
      <c r="H15" s="8" t="s">
        <v>13</v>
      </c>
      <c r="I15" s="8" t="s">
        <v>14</v>
      </c>
      <c r="J15" s="8" t="s">
        <v>15</v>
      </c>
    </row>
    <row r="16" customFormat="false" ht="15" hidden="false" customHeight="false" outlineLevel="0" collapsed="false">
      <c r="B16" s="10" t="n">
        <v>1</v>
      </c>
      <c r="C16" s="11" t="str">
        <f aca="false">IFERROR(INDEX(Hunting!B5:B204,MATCH(LARGE(Hunting!AC5:AC204,1),Hunting!AC5:AC204,0)),"")</f>
        <v>Kitchen Sink Sponge Holder, Stainless</v>
      </c>
      <c r="D16" s="11"/>
      <c r="E16" s="11"/>
      <c r="F16" s="11"/>
      <c r="G16" s="11"/>
      <c r="H16" s="12" t="n">
        <f aca="false">IFERROR(LARGE(Hunting!AC5:AC204,1),"")</f>
        <v>7.279282438</v>
      </c>
      <c r="I16" s="13" t="n">
        <f aca="false">IFERROR(INDEX(Hunting!AF5:AF204,MATCH(LARGE(Hunting!AC5:AC204,1),Hunting!AC5:AC204,0)),"")</f>
        <v>0.90991030475</v>
      </c>
      <c r="J16" s="10" t="str">
        <f aca="false">IFERROR(INDEX(Hunting!AJ5:AJ204,MATCH(LARGE(Hunting!AC5:AC204,1),Hunting!AC5:AC204,0)),"")</f>
        <v>✅ GO</v>
      </c>
    </row>
    <row r="17" customFormat="false" ht="15" hidden="false" customHeight="false" outlineLevel="0" collapsed="false">
      <c r="B17" s="10" t="n">
        <v>2</v>
      </c>
      <c r="C17" s="11" t="str">
        <f aca="false">IFERROR(INDEX(Hunting!B5:B204,MATCH(LARGE(Hunting!AC5:AC204,2),Hunting!AC5:AC204,0)),"")</f>
        <v>Stainless Steel Lemon Squeezer</v>
      </c>
      <c r="D17" s="11"/>
      <c r="E17" s="11"/>
      <c r="F17" s="11"/>
      <c r="G17" s="11"/>
      <c r="H17" s="12" t="n">
        <f aca="false">IFERROR(LARGE(Hunting!AC5:AC204,2),"")</f>
        <v>6.994684898</v>
      </c>
      <c r="I17" s="13" t="n">
        <f aca="false">IFERROR(INDEX(Hunting!AF5:AF204,MATCH(LARGE(Hunting!AC5:AC204,2),Hunting!AC5:AC204,0)),"")</f>
        <v>0.689131517044335</v>
      </c>
      <c r="J17" s="10" t="str">
        <f aca="false">IFERROR(INDEX(Hunting!AJ5:AJ204,MATCH(LARGE(Hunting!AC5:AC204,2),Hunting!AC5:AC204,0)),"")</f>
        <v>⚠ CHECK</v>
      </c>
    </row>
    <row r="18" customFormat="false" ht="15" hidden="false" customHeight="false" outlineLevel="0" collapsed="false">
      <c r="B18" s="10" t="n">
        <v>3</v>
      </c>
      <c r="C18" s="11" t="str">
        <f aca="false">IFERROR(INDEX(Hunting!B5:B204,MATCH(LARGE(Hunting!AC5:AC204,3),Hunting!AC5:AC204,0)),"")</f>
        <v>Scott Paper Towels, Choose-A-Sheet</v>
      </c>
      <c r="D18" s="11"/>
      <c r="E18" s="11"/>
      <c r="F18" s="11"/>
      <c r="G18" s="11"/>
      <c r="H18" s="12" t="n">
        <f aca="false">IFERROR(LARGE(Hunting!AC5:AC204,3),"")</f>
        <v>0.558512627999999</v>
      </c>
      <c r="I18" s="13" t="n">
        <f aca="false">IFERROR(INDEX(Hunting!AF5:AF204,MATCH(LARGE(Hunting!AC5:AC204,3),Hunting!AC5:AC204,0)),"")</f>
        <v>0.081653892982456</v>
      </c>
      <c r="J18" s="10" t="str">
        <f aca="false">IFERROR(INDEX(Hunting!AJ5:AJ204,MATCH(LARGE(Hunting!AC5:AC204,3),Hunting!AC5:AC204,0)),"")</f>
        <v>❌ SKIP</v>
      </c>
    </row>
    <row r="19" customFormat="false" ht="15" hidden="false" customHeight="false" outlineLevel="0" collapsed="false">
      <c r="B19" s="10" t="n">
        <v>4</v>
      </c>
      <c r="C19" s="11" t="str">
        <f aca="false">IFERROR(INDEX(Hunting!B5:B204,MATCH(LARGE(Hunting!AC5:AC204,4),Hunting!AC5:AC204,0)),"")</f>
        <v/>
      </c>
      <c r="D19" s="11"/>
      <c r="E19" s="11"/>
      <c r="F19" s="11"/>
      <c r="G19" s="11"/>
      <c r="H19" s="12" t="str">
        <f aca="false">IFERROR(LARGE(Hunting!AC5:AC204,4),"")</f>
        <v/>
      </c>
      <c r="I19" s="13" t="str">
        <f aca="false">IFERROR(INDEX(Hunting!AF5:AF204,MATCH(LARGE(Hunting!AC5:AC204,4),Hunting!AC5:AC204,0)),"")</f>
        <v/>
      </c>
      <c r="J19" s="10" t="str">
        <f aca="false">IFERROR(INDEX(Hunting!AJ5:AJ204,MATCH(LARGE(Hunting!AC5:AC204,4),Hunting!AC5:AC204,0)),"")</f>
        <v/>
      </c>
    </row>
    <row r="20" customFormat="false" ht="15" hidden="false" customHeight="false" outlineLevel="0" collapsed="false">
      <c r="B20" s="10" t="n">
        <v>5</v>
      </c>
      <c r="C20" s="11" t="str">
        <f aca="false">IFERROR(INDEX(Hunting!B5:B204,MATCH(LARGE(Hunting!AC5:AC204,5),Hunting!AC5:AC204,0)),"")</f>
        <v/>
      </c>
      <c r="D20" s="11"/>
      <c r="E20" s="11"/>
      <c r="F20" s="11"/>
      <c r="G20" s="11"/>
      <c r="H20" s="12" t="str">
        <f aca="false">IFERROR(LARGE(Hunting!AC5:AC204,5),"")</f>
        <v/>
      </c>
      <c r="I20" s="13" t="str">
        <f aca="false">IFERROR(INDEX(Hunting!AF5:AF204,MATCH(LARGE(Hunting!AC5:AC204,5),Hunting!AC5:AC204,0)),"")</f>
        <v/>
      </c>
      <c r="J20" s="10" t="str">
        <f aca="false">IFERROR(INDEX(Hunting!AJ5:AJ204,MATCH(LARGE(Hunting!AC5:AC204,5),Hunting!AC5:AC204,0)),"")</f>
        <v/>
      </c>
    </row>
  </sheetData>
  <mergeCells count="6">
    <mergeCell ref="C15:G15"/>
    <mergeCell ref="C16:G16"/>
    <mergeCell ref="C17:G17"/>
    <mergeCell ref="C18:G18"/>
    <mergeCell ref="C19:G19"/>
    <mergeCell ref="C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4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8" t="s">
        <v>18</v>
      </c>
      <c r="B4" s="8" t="s">
        <v>19</v>
      </c>
      <c r="C4" s="8" t="s">
        <v>20</v>
      </c>
    </row>
    <row r="5" customFormat="false" ht="30" hidden="false" customHeight="true" outlineLevel="0" collapsed="false">
      <c r="A5" s="15" t="s">
        <v>21</v>
      </c>
      <c r="B5" s="16" t="n">
        <v>0.136</v>
      </c>
      <c r="C5" s="17" t="s">
        <v>22</v>
      </c>
    </row>
    <row r="6" customFormat="false" ht="30" hidden="false" customHeight="true" outlineLevel="0" collapsed="false">
      <c r="A6" s="15" t="s">
        <v>23</v>
      </c>
      <c r="B6" s="18" t="n">
        <v>0.3</v>
      </c>
      <c r="C6" s="17" t="s">
        <v>24</v>
      </c>
    </row>
    <row r="7" customFormat="false" ht="30" hidden="false" customHeight="true" outlineLevel="0" collapsed="false">
      <c r="A7" s="15" t="s">
        <v>25</v>
      </c>
      <c r="B7" s="18" t="n">
        <v>0.4</v>
      </c>
      <c r="C7" s="17" t="s">
        <v>26</v>
      </c>
    </row>
    <row r="8" customFormat="false" ht="30" hidden="false" customHeight="true" outlineLevel="0" collapsed="false">
      <c r="A8" s="15" t="s">
        <v>27</v>
      </c>
      <c r="B8" s="18" t="n">
        <v>10</v>
      </c>
      <c r="C8" s="17" t="s">
        <v>28</v>
      </c>
    </row>
    <row r="9" customFormat="false" ht="30" hidden="false" customHeight="true" outlineLevel="0" collapsed="false">
      <c r="A9" s="15" t="s">
        <v>29</v>
      </c>
      <c r="B9" s="16" t="n">
        <v>0.0165</v>
      </c>
      <c r="C9" s="17" t="s">
        <v>30</v>
      </c>
    </row>
    <row r="10" customFormat="false" ht="30" hidden="false" customHeight="true" outlineLevel="0" collapsed="false">
      <c r="A10" s="15" t="s">
        <v>31</v>
      </c>
      <c r="B10" s="16" t="n">
        <v>0.07</v>
      </c>
      <c r="C10" s="17" t="s">
        <v>32</v>
      </c>
    </row>
    <row r="11" customFormat="false" ht="30" hidden="false" customHeight="true" outlineLevel="0" collapsed="false">
      <c r="A11" s="15" t="s">
        <v>33</v>
      </c>
      <c r="B11" s="16" t="n">
        <v>0.03</v>
      </c>
      <c r="C11" s="17" t="s">
        <v>34</v>
      </c>
    </row>
    <row r="12" customFormat="false" ht="30" hidden="false" customHeight="true" outlineLevel="0" collapsed="false">
      <c r="A12" s="15" t="s">
        <v>35</v>
      </c>
      <c r="B12" s="16" t="n">
        <v>0.01</v>
      </c>
      <c r="C12" s="17" t="s">
        <v>36</v>
      </c>
    </row>
    <row r="13" customFormat="false" ht="30" hidden="false" customHeight="true" outlineLevel="0" collapsed="false">
      <c r="A13" s="15" t="s">
        <v>37</v>
      </c>
      <c r="B13" s="16" t="n">
        <v>0.03</v>
      </c>
      <c r="C13" s="17" t="s">
        <v>38</v>
      </c>
    </row>
    <row r="14" customFormat="false" ht="30" hidden="false" customHeight="true" outlineLevel="0" collapsed="false">
      <c r="A14" s="15" t="s">
        <v>39</v>
      </c>
      <c r="B14" s="19" t="n">
        <v>280</v>
      </c>
      <c r="C14" s="17" t="s">
        <v>40</v>
      </c>
    </row>
    <row r="15" customFormat="false" ht="30" hidden="false" customHeight="true" outlineLevel="0" collapsed="false">
      <c r="A15" s="15" t="s">
        <v>41</v>
      </c>
      <c r="B15" s="18" t="n">
        <v>3</v>
      </c>
      <c r="C15" s="17" t="s">
        <v>42</v>
      </c>
    </row>
    <row r="16" customFormat="false" ht="30" hidden="false" customHeight="true" outlineLevel="0" collapsed="false">
      <c r="A16" s="15" t="s">
        <v>43</v>
      </c>
      <c r="B16" s="16" t="n">
        <v>0.25</v>
      </c>
      <c r="C16" s="17" t="s">
        <v>44</v>
      </c>
    </row>
    <row r="17" customFormat="false" ht="30" hidden="false" customHeight="true" outlineLevel="0" collapsed="false">
      <c r="A17" s="15" t="s">
        <v>45</v>
      </c>
      <c r="B17" s="16" t="n">
        <v>0.4</v>
      </c>
      <c r="C17" s="17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8" min="16" style="0" width="11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11"/>
    <col collapsed="false" customWidth="true" hidden="false" outlineLevel="0" max="24" min="23" style="0" width="10"/>
    <col collapsed="false" customWidth="true" hidden="false" outlineLevel="0" max="26" min="25" style="0" width="12"/>
    <col collapsed="false" customWidth="true" hidden="false" outlineLevel="0" max="28" min="27" style="0" width="11"/>
    <col collapsed="false" customWidth="true" hidden="false" outlineLevel="0" max="30" min="29" style="0" width="13"/>
    <col collapsed="false" customWidth="true" hidden="false" outlineLevel="0" max="32" min="31" style="0" width="10"/>
    <col collapsed="false" customWidth="true" hidden="false" outlineLevel="0" max="33" min="33" style="0" width="12"/>
    <col collapsed="false" customWidth="true" hidden="false" outlineLevel="0" max="34" min="34" style="0" width="13"/>
    <col collapsed="false" customWidth="true" hidden="false" outlineLevel="0" max="35" min="35" style="0" width="22"/>
    <col collapsed="false" customWidth="true" hidden="false" outlineLevel="0" max="36" min="36" style="0" width="13"/>
    <col collapsed="false" customWidth="true" hidden="false" outlineLevel="0" max="37" min="37" style="0" width="30"/>
  </cols>
  <sheetData>
    <row r="1" customFormat="false" ht="22.05" hidden="false" customHeight="false" outlineLevel="0" collapsed="false">
      <c r="A1" s="20" t="s">
        <v>47</v>
      </c>
    </row>
    <row r="2" customFormat="false" ht="15" hidden="false" customHeight="false" outlineLevel="0" collapsed="false">
      <c r="A2" s="2" t="s">
        <v>48</v>
      </c>
    </row>
    <row r="3" customFormat="false" ht="15" hidden="false" customHeight="false" outlineLevel="0" collapsed="false">
      <c r="A3" s="21" t="s">
        <v>49</v>
      </c>
      <c r="B3" s="21"/>
      <c r="C3" s="21"/>
      <c r="D3" s="21"/>
      <c r="E3" s="21"/>
      <c r="F3" s="21"/>
      <c r="G3" s="22" t="s">
        <v>50</v>
      </c>
      <c r="H3" s="22"/>
      <c r="I3" s="22"/>
      <c r="J3" s="22"/>
      <c r="K3" s="23" t="s">
        <v>51</v>
      </c>
      <c r="L3" s="23"/>
      <c r="M3" s="23"/>
      <c r="N3" s="23"/>
      <c r="O3" s="23"/>
      <c r="P3" s="24" t="s">
        <v>52</v>
      </c>
      <c r="Q3" s="24"/>
      <c r="R3" s="24"/>
      <c r="S3" s="25" t="s">
        <v>53</v>
      </c>
      <c r="T3" s="25"/>
      <c r="U3" s="25"/>
      <c r="V3" s="25"/>
      <c r="W3" s="25"/>
      <c r="X3" s="25"/>
      <c r="Y3" s="25"/>
      <c r="Z3" s="26" t="s">
        <v>54</v>
      </c>
      <c r="AA3" s="26"/>
      <c r="AB3" s="26"/>
      <c r="AC3" s="26"/>
      <c r="AD3" s="26"/>
      <c r="AE3" s="26"/>
      <c r="AF3" s="26"/>
      <c r="AG3" s="27" t="s">
        <v>55</v>
      </c>
      <c r="AH3" s="27"/>
      <c r="AI3" s="28" t="s">
        <v>56</v>
      </c>
      <c r="AJ3" s="28"/>
      <c r="AK3" s="28"/>
    </row>
    <row r="4" customFormat="false" ht="42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  <c r="E4" s="29" t="s">
        <v>61</v>
      </c>
      <c r="F4" s="29" t="s">
        <v>62</v>
      </c>
      <c r="G4" s="30" t="s">
        <v>63</v>
      </c>
      <c r="H4" s="30" t="s">
        <v>64</v>
      </c>
      <c r="I4" s="30" t="s">
        <v>65</v>
      </c>
      <c r="J4" s="30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2" t="s">
        <v>72</v>
      </c>
      <c r="Q4" s="32" t="s">
        <v>73</v>
      </c>
      <c r="R4" s="32" t="s">
        <v>74</v>
      </c>
      <c r="S4" s="33" t="s">
        <v>75</v>
      </c>
      <c r="T4" s="33" t="s">
        <v>76</v>
      </c>
      <c r="U4" s="33" t="s">
        <v>77</v>
      </c>
      <c r="V4" s="33" t="s">
        <v>78</v>
      </c>
      <c r="W4" s="33" t="s">
        <v>79</v>
      </c>
      <c r="X4" s="33" t="s">
        <v>80</v>
      </c>
      <c r="Y4" s="33" t="s">
        <v>81</v>
      </c>
      <c r="Z4" s="34" t="s">
        <v>82</v>
      </c>
      <c r="AA4" s="34" t="s">
        <v>83</v>
      </c>
      <c r="AB4" s="34" t="s">
        <v>84</v>
      </c>
      <c r="AC4" s="34" t="s">
        <v>85</v>
      </c>
      <c r="AD4" s="34" t="s">
        <v>86</v>
      </c>
      <c r="AE4" s="34" t="s">
        <v>87</v>
      </c>
      <c r="AF4" s="34" t="s">
        <v>14</v>
      </c>
      <c r="AG4" s="35" t="s">
        <v>88</v>
      </c>
      <c r="AH4" s="35" t="s">
        <v>89</v>
      </c>
      <c r="AI4" s="36" t="s">
        <v>90</v>
      </c>
      <c r="AJ4" s="36" t="s">
        <v>91</v>
      </c>
      <c r="AK4" s="36" t="s">
        <v>92</v>
      </c>
    </row>
    <row r="5" customFormat="false" ht="15" hidden="false" customHeight="false" outlineLevel="0" collapsed="false">
      <c r="A5" s="37" t="n">
        <f aca="false">IF(B5="","",ROW()-4)</f>
        <v>1</v>
      </c>
      <c r="B5" s="38" t="s">
        <v>93</v>
      </c>
      <c r="C5" s="39" t="s">
        <v>94</v>
      </c>
      <c r="D5" s="38" t="s">
        <v>95</v>
      </c>
      <c r="E5" s="38" t="s">
        <v>96</v>
      </c>
      <c r="F5" s="38" t="s">
        <v>97</v>
      </c>
      <c r="G5" s="40" t="n">
        <v>6.84</v>
      </c>
      <c r="H5" s="40" t="n">
        <v>0</v>
      </c>
      <c r="I5" s="40" t="n">
        <v>0</v>
      </c>
      <c r="J5" s="41" t="n">
        <f aca="false">IF(G5="","",G5+N(H5)+N(I5))</f>
        <v>6.84</v>
      </c>
      <c r="K5" s="40" t="n">
        <v>9.94</v>
      </c>
      <c r="L5" s="40" t="n">
        <v>0</v>
      </c>
      <c r="M5" s="42"/>
      <c r="N5" s="42"/>
      <c r="O5" s="39" t="s">
        <v>98</v>
      </c>
      <c r="P5" s="38" t="n">
        <v>12</v>
      </c>
      <c r="Q5" s="38" t="n">
        <v>40</v>
      </c>
      <c r="R5" s="43" t="n">
        <f aca="false">IF(OR(P5="",Q5=""),"",P5/(P5+Q5))</f>
        <v>0.230769230769231</v>
      </c>
      <c r="S5" s="41" t="n">
        <f aca="false">IF(OR(K5="",G5=""),"",K5+N(L5))</f>
        <v>9.94</v>
      </c>
      <c r="T5" s="41" t="n">
        <f aca="false">IF(OR(K5="",G5=""),"",S5*Settings!$B$10)</f>
        <v>0.6958</v>
      </c>
      <c r="U5" s="41" t="n">
        <f aca="false">IF(OR(K5="",G5=""),"",(S5+T5)*IF(N5="",Settings!$B$5,N5))</f>
        <v>1.4464688</v>
      </c>
      <c r="V5" s="41" t="n">
        <f aca="false">IF(OR(K5="",G5=""),"",IF(S5+T5&lt;=Settings!$B$8,Settings!$B$6,Settings!$B$7))</f>
        <v>0.4</v>
      </c>
      <c r="W5" s="41" t="n">
        <f aca="false">IF(OR(K5="",G5=""),"",S5*IF(UPPER(O5)="Y",Settings!$B$9,0))</f>
        <v>0</v>
      </c>
      <c r="X5" s="41" t="n">
        <f aca="false">IF(OR(K5="",G5=""),"",(S5+T5)*IF(M5="",Settings!$B$11,M5))</f>
        <v>0.319074</v>
      </c>
      <c r="Y5" s="41" t="n">
        <f aca="false">IF(OR(K5="",G5=""),"",U5+V5+W5+X5)</f>
        <v>2.1655428</v>
      </c>
      <c r="Z5" s="41" t="n">
        <f aca="false">IF(OR(K5="",G5=""),"",S5-Y5)</f>
        <v>7.7744572</v>
      </c>
      <c r="AA5" s="41" t="n">
        <f aca="false">IF(OR(K5="",G5=""),"",Z5*Settings!$B$12)</f>
        <v>0.077744572</v>
      </c>
      <c r="AB5" s="41" t="n">
        <f aca="false">IF(OR(K5="",G5=""),"",S5*Settings!$B$13)</f>
        <v>0.2982</v>
      </c>
      <c r="AC5" s="44" t="n">
        <f aca="false">IF(OR(K5="",G5=""),"",Z5-AA5-AB5-J5)</f>
        <v>0.558512627999999</v>
      </c>
      <c r="AD5" s="45" t="n">
        <f aca="false">IF(OR(K5="",G5=""),"",AC5*Settings!$B$14)</f>
        <v>156.38353584</v>
      </c>
      <c r="AE5" s="43" t="n">
        <f aca="false">IF(OR(K5="",G5=""),"",IF(S5=0,"",AC5/S5))</f>
        <v>0.0561883931589536</v>
      </c>
      <c r="AF5" s="43" t="n">
        <f aca="false">IF(OR(K5="",G5=""),"",IF(J5=0,"",AC5/J5))</f>
        <v>0.081653892982456</v>
      </c>
      <c r="AG5" s="41" t="n">
        <f aca="false">IF(OR(K5="",G5=""),"",(J5+V5)/(1-(1+Settings!$B$10)*(IF(N5="",Settings!$B$5,N5)+IF(M5="",Settings!$B$11,M5))-IF(UPPER(O5)="Y",Settings!$B$9,0)-Settings!$B$13-Settings!$B$12)-N(L5))</f>
        <v>9.25381528157673</v>
      </c>
      <c r="AH5" s="41" t="n">
        <f aca="false">IF(OR(K5="",G5=""),"",(J5+V5+Settings!$B$15)/(1-(1+Settings!$B$10)*(IF(N5="",Settings!$B$5,N5)+IF(M5="",Settings!$B$11,M5))-IF(UPPER(O5)="Y",Settings!$B$9,0)-Settings!$B$13-Settings!$B$12)-N(L5))</f>
        <v>13.0882691275339</v>
      </c>
      <c r="AI5" s="46" t="str">
        <f aca="false">IF(C5="","",IF(OR(ISNUMBER(SEARCH("amazon",C5)),ISNUMBER(SEARCH("walmart",C5)),ISNUMBER(SEARCH("aliexpress",C5)),ISNUMBER(SEARCH("temu",C5))),"⚠ Retail source — not allowed","✓ Wholesale / own stock"))</f>
        <v>⚠ Retail source — not allowed</v>
      </c>
      <c r="AJ5" s="47" t="str">
        <f aca="false">IF(OR(K5="",G5=""),"",IF(LEFT(AI5,1)="⚠","❌ SKIP",IF(AND(AC5&gt;=Settings!$B$15,AF5&gt;=Settings!$B$16,OR(R5="",N(R5)&gt;=Settings!$B$17)),"✅ GO",IF(AC5&gt;0,"⚠ CHECK","❌ SKIP"))))</f>
        <v>❌ SKIP</v>
      </c>
      <c r="AK5" s="38" t="s">
        <v>99</v>
      </c>
    </row>
    <row r="6" customFormat="false" ht="15" hidden="false" customHeight="false" outlineLevel="0" collapsed="false">
      <c r="A6" s="37" t="n">
        <f aca="false">IF(B6="","",ROW()-4)</f>
        <v>2</v>
      </c>
      <c r="B6" s="38" t="s">
        <v>100</v>
      </c>
      <c r="C6" s="39" t="s">
        <v>101</v>
      </c>
      <c r="D6" s="38" t="s">
        <v>102</v>
      </c>
      <c r="E6" s="38" t="s">
        <v>96</v>
      </c>
      <c r="F6" s="38" t="s">
        <v>103</v>
      </c>
      <c r="G6" s="40" t="n">
        <v>4.2</v>
      </c>
      <c r="H6" s="40" t="n">
        <v>3.5</v>
      </c>
      <c r="I6" s="40" t="n">
        <v>0.3</v>
      </c>
      <c r="J6" s="41" t="n">
        <f aca="false">IF(G6="","",G6+N(H6)+N(I6))</f>
        <v>8</v>
      </c>
      <c r="K6" s="40" t="n">
        <v>19.99</v>
      </c>
      <c r="L6" s="40" t="n">
        <v>0</v>
      </c>
      <c r="M6" s="42"/>
      <c r="N6" s="42"/>
      <c r="O6" s="39" t="s">
        <v>98</v>
      </c>
      <c r="P6" s="38" t="n">
        <v>45</v>
      </c>
      <c r="Q6" s="38" t="n">
        <v>60</v>
      </c>
      <c r="R6" s="43" t="n">
        <f aca="false">IF(OR(P6="",Q6=""),"",P6/(P6+Q6))</f>
        <v>0.428571428571429</v>
      </c>
      <c r="S6" s="41" t="n">
        <f aca="false">IF(OR(K6="",G6=""),"",K6+N(L6))</f>
        <v>19.99</v>
      </c>
      <c r="T6" s="41" t="n">
        <f aca="false">IF(OR(K6="",G6=""),"",S6*Settings!$B$10)</f>
        <v>1.3993</v>
      </c>
      <c r="U6" s="41" t="n">
        <f aca="false">IF(OR(K6="",G6=""),"",(S6+T6)*IF(N6="",Settings!$B$5,N6))</f>
        <v>2.9089448</v>
      </c>
      <c r="V6" s="41" t="n">
        <f aca="false">IF(OR(K6="",G6=""),"",IF(S6+T6&lt;=Settings!$B$8,Settings!$B$6,Settings!$B$7))</f>
        <v>0.4</v>
      </c>
      <c r="W6" s="41" t="n">
        <f aca="false">IF(OR(K6="",G6=""),"",S6*IF(UPPER(O6)="Y",Settings!$B$9,0))</f>
        <v>0</v>
      </c>
      <c r="X6" s="41" t="n">
        <f aca="false">IF(OR(K6="",G6=""),"",(S6+T6)*IF(M6="",Settings!$B$11,M6))</f>
        <v>0.641679</v>
      </c>
      <c r="Y6" s="41" t="n">
        <f aca="false">IF(OR(K6="",G6=""),"",U6+V6+W6+X6)</f>
        <v>3.9506238</v>
      </c>
      <c r="Z6" s="41" t="n">
        <f aca="false">IF(OR(K6="",G6=""),"",S6-Y6)</f>
        <v>16.0393762</v>
      </c>
      <c r="AA6" s="41" t="n">
        <f aca="false">IF(OR(K6="",G6=""),"",Z6*Settings!$B$12)</f>
        <v>0.160393762</v>
      </c>
      <c r="AB6" s="41" t="n">
        <f aca="false">IF(OR(K6="",G6=""),"",S6*Settings!$B$13)</f>
        <v>0.5997</v>
      </c>
      <c r="AC6" s="44" t="n">
        <f aca="false">IF(OR(K6="",G6=""),"",Z6-AA6-AB6-J6)</f>
        <v>7.279282438</v>
      </c>
      <c r="AD6" s="45" t="n">
        <f aca="false">IF(OR(K6="",G6=""),"",AC6*Settings!$B$14)</f>
        <v>2038.19908264</v>
      </c>
      <c r="AE6" s="43" t="n">
        <f aca="false">IF(OR(K6="",G6=""),"",IF(S6=0,"",AC6/S6))</f>
        <v>0.364146194997499</v>
      </c>
      <c r="AF6" s="43" t="n">
        <f aca="false">IF(OR(K6="",G6=""),"",IF(J6=0,"",AC6/J6))</f>
        <v>0.90991030475</v>
      </c>
      <c r="AG6" s="41" t="n">
        <f aca="false">IF(OR(K6="",G6=""),"",(J6+V6)/(1-(1+Settings!$B$10)*(IF(N6="",Settings!$B$5,N6)+IF(M6="",Settings!$B$11,M6))-IF(UPPER(O6)="Y",Settings!$B$9,0)-Settings!$B$13-Settings!$B$12)-N(L6))</f>
        <v>10.7364707686802</v>
      </c>
      <c r="AH6" s="41" t="n">
        <f aca="false">IF(OR(K6="",G6=""),"",(J6+V6+Settings!$B$15)/(1-(1+Settings!$B$10)*(IF(N6="",Settings!$B$5,N6)+IF(M6="",Settings!$B$11,M6))-IF(UPPER(O6)="Y",Settings!$B$9,0)-Settings!$B$13-Settings!$B$12)-N(L6))</f>
        <v>14.5709246146374</v>
      </c>
      <c r="AI6" s="46" t="str">
        <f aca="false">IF(C6="","",IF(OR(ISNUMBER(SEARCH("amazon",C6)),ISNUMBER(SEARCH("walmart",C6)),ISNUMBER(SEARCH("aliexpress",C6)),ISNUMBER(SEARCH("temu",C6))),"⚠ Retail source — not allowed","✓ Wholesale / own stock"))</f>
        <v>✓ Wholesale / own stock</v>
      </c>
      <c r="AJ6" s="47" t="str">
        <f aca="false">IF(OR(K6="",G6=""),"",IF(LEFT(AI6,1)="⚠","❌ SKIP",IF(AND(AC6&gt;=Settings!$B$15,AF6&gt;=Settings!$B$16,OR(R6="",N(R6)&gt;=Settings!$B$17)),"✅ GO",IF(AC6&gt;0,"⚠ CHECK","❌ SKIP"))))</f>
        <v>✅ GO</v>
      </c>
      <c r="AK6" s="38" t="s">
        <v>104</v>
      </c>
    </row>
    <row r="7" customFormat="false" ht="15" hidden="false" customHeight="false" outlineLevel="0" collapsed="false">
      <c r="A7" s="37" t="n">
        <f aca="false">IF(B7="","",ROW()-4)</f>
        <v>3</v>
      </c>
      <c r="B7" s="38" t="s">
        <v>105</v>
      </c>
      <c r="C7" s="39" t="s">
        <v>101</v>
      </c>
      <c r="D7" s="38" t="s">
        <v>102</v>
      </c>
      <c r="E7" s="38" t="s">
        <v>96</v>
      </c>
      <c r="F7" s="38" t="s">
        <v>106</v>
      </c>
      <c r="G7" s="40" t="n">
        <v>10.15</v>
      </c>
      <c r="H7" s="40" t="n">
        <v>0</v>
      </c>
      <c r="I7" s="40" t="n">
        <v>0</v>
      </c>
      <c r="J7" s="41" t="n">
        <f aca="false">IF(G7="","",G7+N(H7)+N(I7))</f>
        <v>10.15</v>
      </c>
      <c r="K7" s="40" t="n">
        <v>22.99</v>
      </c>
      <c r="L7" s="40" t="n">
        <v>0</v>
      </c>
      <c r="M7" s="42" t="n">
        <v>0.05</v>
      </c>
      <c r="N7" s="42"/>
      <c r="O7" s="39" t="s">
        <v>98</v>
      </c>
      <c r="P7" s="38" t="n">
        <v>30</v>
      </c>
      <c r="Q7" s="38" t="n">
        <v>55</v>
      </c>
      <c r="R7" s="43" t="n">
        <f aca="false">IF(OR(P7="",Q7=""),"",P7/(P7+Q7))</f>
        <v>0.352941176470588</v>
      </c>
      <c r="S7" s="41" t="n">
        <f aca="false">IF(OR(K7="",G7=""),"",K7+N(L7))</f>
        <v>22.99</v>
      </c>
      <c r="T7" s="41" t="n">
        <f aca="false">IF(OR(K7="",G7=""),"",S7*Settings!$B$10)</f>
        <v>1.6093</v>
      </c>
      <c r="U7" s="41" t="n">
        <f aca="false">IF(OR(K7="",G7=""),"",(S7+T7)*IF(N7="",Settings!$B$5,N7))</f>
        <v>3.3455048</v>
      </c>
      <c r="V7" s="41" t="n">
        <f aca="false">IF(OR(K7="",G7=""),"",IF(S7+T7&lt;=Settings!$B$8,Settings!$B$6,Settings!$B$7))</f>
        <v>0.4</v>
      </c>
      <c r="W7" s="41" t="n">
        <f aca="false">IF(OR(K7="",G7=""),"",S7*IF(UPPER(O7)="Y",Settings!$B$9,0))</f>
        <v>0</v>
      </c>
      <c r="X7" s="41" t="n">
        <f aca="false">IF(OR(K7="",G7=""),"",(S7+T7)*IF(M7="",Settings!$B$11,M7))</f>
        <v>1.229965</v>
      </c>
      <c r="Y7" s="41" t="n">
        <f aca="false">IF(OR(K7="",G7=""),"",U7+V7+W7+X7)</f>
        <v>4.9754698</v>
      </c>
      <c r="Z7" s="41" t="n">
        <f aca="false">IF(OR(K7="",G7=""),"",S7-Y7)</f>
        <v>18.0145302</v>
      </c>
      <c r="AA7" s="41" t="n">
        <f aca="false">IF(OR(K7="",G7=""),"",Z7*Settings!$B$12)</f>
        <v>0.180145302</v>
      </c>
      <c r="AB7" s="41" t="n">
        <f aca="false">IF(OR(K7="",G7=""),"",S7*Settings!$B$13)</f>
        <v>0.6897</v>
      </c>
      <c r="AC7" s="44" t="n">
        <f aca="false">IF(OR(K7="",G7=""),"",Z7-AA7-AB7-J7)</f>
        <v>6.994684898</v>
      </c>
      <c r="AD7" s="45" t="n">
        <f aca="false">IF(OR(K7="",G7=""),"",AC7*Settings!$B$14)</f>
        <v>1958.51177144</v>
      </c>
      <c r="AE7" s="43" t="n">
        <f aca="false">IF(OR(K7="",G7=""),"",IF(S7=0,"",AC7/S7))</f>
        <v>0.304249016876903</v>
      </c>
      <c r="AF7" s="43" t="n">
        <f aca="false">IF(OR(K7="",G7=""),"",IF(J7=0,"",AC7/J7))</f>
        <v>0.689131517044335</v>
      </c>
      <c r="AG7" s="41" t="n">
        <f aca="false">IF(OR(K7="",G7=""),"",(J7+V7)/(1-(1+Settings!$B$10)*(IF(N7="",Settings!$B$5,N7)+IF(M7="",Settings!$B$11,M7))-IF(UPPER(O7)="Y",Settings!$B$9,0)-Settings!$B$13-Settings!$B$12)-N(L7))</f>
        <v>13.8637020683855</v>
      </c>
      <c r="AH7" s="41" t="n">
        <f aca="false">IF(OR(K7="",G7=""),"",(J7+V7+Settings!$B$15)/(1-(1+Settings!$B$10)*(IF(N7="",Settings!$B$5,N7)+IF(M7="",Settings!$B$11,M7))-IF(UPPER(O7)="Y",Settings!$B$9,0)-Settings!$B$13-Settings!$B$12)-N(L7))</f>
        <v>17.8059870167416</v>
      </c>
      <c r="AI7" s="46" t="str">
        <f aca="false">IF(C7="","",IF(OR(ISNUMBER(SEARCH("amazon",C7)),ISNUMBER(SEARCH("walmart",C7)),ISNUMBER(SEARCH("aliexpress",C7)),ISNUMBER(SEARCH("temu",C7))),"⚠ Retail source — not allowed","✓ Wholesale / own stock"))</f>
        <v>✓ Wholesale / own stock</v>
      </c>
      <c r="AJ7" s="47" t="str">
        <f aca="false">IF(OR(K7="",G7=""),"",IF(LEFT(AI7,1)="⚠","❌ SKIP",IF(AND(AC7&gt;=Settings!$B$15,AF7&gt;=Settings!$B$16,OR(R7="",N(R7)&gt;=Settings!$B$17)),"✅ GO",IF(AC7&gt;0,"⚠ CHECK","❌ SKIP"))))</f>
        <v>⚠ CHECK</v>
      </c>
      <c r="AK7" s="38" t="s">
        <v>107</v>
      </c>
    </row>
    <row r="8" customFormat="false" ht="15" hidden="false" customHeight="false" outlineLevel="0" collapsed="false">
      <c r="A8" s="37" t="str">
        <f aca="false">IF(B8="","",ROW()-4)</f>
        <v/>
      </c>
      <c r="B8" s="38"/>
      <c r="C8" s="39"/>
      <c r="D8" s="38"/>
      <c r="E8" s="38"/>
      <c r="F8" s="38"/>
      <c r="G8" s="40"/>
      <c r="H8" s="40"/>
      <c r="I8" s="40"/>
      <c r="J8" s="41" t="str">
        <f aca="false">IF(G8="","",G8+N(H8)+N(I8))</f>
        <v/>
      </c>
      <c r="K8" s="40"/>
      <c r="L8" s="40"/>
      <c r="M8" s="42"/>
      <c r="N8" s="42"/>
      <c r="O8" s="39"/>
      <c r="P8" s="38"/>
      <c r="Q8" s="38"/>
      <c r="R8" s="43" t="str">
        <f aca="false">IF(OR(P8="",Q8=""),"",P8/(P8+Q8))</f>
        <v/>
      </c>
      <c r="S8" s="41" t="str">
        <f aca="false">IF(OR(K8="",G8=""),"",K8+N(L8))</f>
        <v/>
      </c>
      <c r="T8" s="41" t="str">
        <f aca="false">IF(OR(K8="",G8=""),"",S8*Settings!$B$10)</f>
        <v/>
      </c>
      <c r="U8" s="41" t="str">
        <f aca="false">IF(OR(K8="",G8=""),"",(S8+T8)*IF(N8="",Settings!$B$5,N8))</f>
        <v/>
      </c>
      <c r="V8" s="41" t="str">
        <f aca="false">IF(OR(K8="",G8=""),"",IF(S8+T8&lt;=Settings!$B$8,Settings!$B$6,Settings!$B$7))</f>
        <v/>
      </c>
      <c r="W8" s="41" t="str">
        <f aca="false">IF(OR(K8="",G8=""),"",S8*IF(UPPER(O8)="Y",Settings!$B$9,0))</f>
        <v/>
      </c>
      <c r="X8" s="41" t="str">
        <f aca="false">IF(OR(K8="",G8=""),"",(S8+T8)*IF(M8="",Settings!$B$11,M8))</f>
        <v/>
      </c>
      <c r="Y8" s="41" t="str">
        <f aca="false">IF(OR(K8="",G8=""),"",U8+V8+W8+X8)</f>
        <v/>
      </c>
      <c r="Z8" s="41" t="str">
        <f aca="false">IF(OR(K8="",G8=""),"",S8-Y8)</f>
        <v/>
      </c>
      <c r="AA8" s="41" t="str">
        <f aca="false">IF(OR(K8="",G8=""),"",Z8*Settings!$B$12)</f>
        <v/>
      </c>
      <c r="AB8" s="41" t="str">
        <f aca="false">IF(OR(K8="",G8=""),"",S8*Settings!$B$13)</f>
        <v/>
      </c>
      <c r="AC8" s="44" t="str">
        <f aca="false">IF(OR(K8="",G8=""),"",Z8-AA8-AB8-J8)</f>
        <v/>
      </c>
      <c r="AD8" s="45" t="str">
        <f aca="false">IF(OR(K8="",G8=""),"",AC8*Settings!$B$14)</f>
        <v/>
      </c>
      <c r="AE8" s="43" t="str">
        <f aca="false">IF(OR(K8="",G8=""),"",IF(S8=0,"",AC8/S8))</f>
        <v/>
      </c>
      <c r="AF8" s="43" t="str">
        <f aca="false">IF(OR(K8="",G8=""),"",IF(J8=0,"",AC8/J8))</f>
        <v/>
      </c>
      <c r="AG8" s="41" t="str">
        <f aca="false">IF(OR(K8="",G8=""),"",(J8+V8)/(1-(1+Settings!$B$10)*(IF(N8="",Settings!$B$5,N8)+IF(M8="",Settings!$B$11,M8))-IF(UPPER(O8)="Y",Settings!$B$9,0)-Settings!$B$13-Settings!$B$12)-N(L8))</f>
        <v/>
      </c>
      <c r="AH8" s="41" t="str">
        <f aca="false">IF(OR(K8="",G8=""),"",(J8+V8+Settings!$B$15)/(1-(1+Settings!$B$10)*(IF(N8="",Settings!$B$5,N8)+IF(M8="",Settings!$B$11,M8))-IF(UPPER(O8)="Y",Settings!$B$9,0)-Settings!$B$13-Settings!$B$12)-N(L8))</f>
        <v/>
      </c>
      <c r="AI8" s="46" t="str">
        <f aca="false">IF(C8="","",IF(OR(ISNUMBER(SEARCH("amazon",C8)),ISNUMBER(SEARCH("walmart",C8)),ISNUMBER(SEARCH("aliexpress",C8)),ISNUMBER(SEARCH("temu",C8))),"⚠ Retail source — not allowed","✓ Wholesale / own stock"))</f>
        <v/>
      </c>
      <c r="AJ8" s="47" t="str">
        <f aca="false">IF(OR(K8="",G8=""),"",IF(LEFT(AI8,1)="⚠","❌ SKIP",IF(AND(AC8&gt;=Settings!$B$15,AF8&gt;=Settings!$B$16,OR(R8="",N(R8)&gt;=Settings!$B$17)),"✅ GO",IF(AC8&gt;0,"⚠ CHECK","❌ SKIP"))))</f>
        <v/>
      </c>
      <c r="AK8" s="38"/>
    </row>
    <row r="9" customFormat="false" ht="15" hidden="false" customHeight="false" outlineLevel="0" collapsed="false">
      <c r="A9" s="37" t="str">
        <f aca="false">IF(B9="","",ROW()-4)</f>
        <v/>
      </c>
      <c r="B9" s="38"/>
      <c r="C9" s="39"/>
      <c r="D9" s="38"/>
      <c r="E9" s="38"/>
      <c r="F9" s="38"/>
      <c r="G9" s="40"/>
      <c r="H9" s="40"/>
      <c r="I9" s="40"/>
      <c r="J9" s="41" t="str">
        <f aca="false">IF(G9="","",G9+N(H9)+N(I9))</f>
        <v/>
      </c>
      <c r="K9" s="40"/>
      <c r="L9" s="40"/>
      <c r="M9" s="42"/>
      <c r="N9" s="42"/>
      <c r="O9" s="39"/>
      <c r="P9" s="38"/>
      <c r="Q9" s="38"/>
      <c r="R9" s="43" t="str">
        <f aca="false">IF(OR(P9="",Q9=""),"",P9/(P9+Q9))</f>
        <v/>
      </c>
      <c r="S9" s="41" t="str">
        <f aca="false">IF(OR(K9="",G9=""),"",K9+N(L9))</f>
        <v/>
      </c>
      <c r="T9" s="41" t="str">
        <f aca="false">IF(OR(K9="",G9=""),"",S9*Settings!$B$10)</f>
        <v/>
      </c>
      <c r="U9" s="41" t="str">
        <f aca="false">IF(OR(K9="",G9=""),"",(S9+T9)*IF(N9="",Settings!$B$5,N9))</f>
        <v/>
      </c>
      <c r="V9" s="41" t="str">
        <f aca="false">IF(OR(K9="",G9=""),"",IF(S9+T9&lt;=Settings!$B$8,Settings!$B$6,Settings!$B$7))</f>
        <v/>
      </c>
      <c r="W9" s="41" t="str">
        <f aca="false">IF(OR(K9="",G9=""),"",S9*IF(UPPER(O9)="Y",Settings!$B$9,0))</f>
        <v/>
      </c>
      <c r="X9" s="41" t="str">
        <f aca="false">IF(OR(K9="",G9=""),"",(S9+T9)*IF(M9="",Settings!$B$11,M9))</f>
        <v/>
      </c>
      <c r="Y9" s="41" t="str">
        <f aca="false">IF(OR(K9="",G9=""),"",U9+V9+W9+X9)</f>
        <v/>
      </c>
      <c r="Z9" s="41" t="str">
        <f aca="false">IF(OR(K9="",G9=""),"",S9-Y9)</f>
        <v/>
      </c>
      <c r="AA9" s="41" t="str">
        <f aca="false">IF(OR(K9="",G9=""),"",Z9*Settings!$B$12)</f>
        <v/>
      </c>
      <c r="AB9" s="41" t="str">
        <f aca="false">IF(OR(K9="",G9=""),"",S9*Settings!$B$13)</f>
        <v/>
      </c>
      <c r="AC9" s="44" t="str">
        <f aca="false">IF(OR(K9="",G9=""),"",Z9-AA9-AB9-J9)</f>
        <v/>
      </c>
      <c r="AD9" s="45" t="str">
        <f aca="false">IF(OR(K9="",G9=""),"",AC9*Settings!$B$14)</f>
        <v/>
      </c>
      <c r="AE9" s="43" t="str">
        <f aca="false">IF(OR(K9="",G9=""),"",IF(S9=0,"",AC9/S9))</f>
        <v/>
      </c>
      <c r="AF9" s="43" t="str">
        <f aca="false">IF(OR(K9="",G9=""),"",IF(J9=0,"",AC9/J9))</f>
        <v/>
      </c>
      <c r="AG9" s="41" t="str">
        <f aca="false">IF(OR(K9="",G9=""),"",(J9+V9)/(1-(1+Settings!$B$10)*(IF(N9="",Settings!$B$5,N9)+IF(M9="",Settings!$B$11,M9))-IF(UPPER(O9)="Y",Settings!$B$9,0)-Settings!$B$13-Settings!$B$12)-N(L9))</f>
        <v/>
      </c>
      <c r="AH9" s="41" t="str">
        <f aca="false">IF(OR(K9="",G9=""),"",(J9+V9+Settings!$B$15)/(1-(1+Settings!$B$10)*(IF(N9="",Settings!$B$5,N9)+IF(M9="",Settings!$B$11,M9))-IF(UPPER(O9)="Y",Settings!$B$9,0)-Settings!$B$13-Settings!$B$12)-N(L9))</f>
        <v/>
      </c>
      <c r="AI9" s="46" t="str">
        <f aca="false">IF(C9="","",IF(OR(ISNUMBER(SEARCH("amazon",C9)),ISNUMBER(SEARCH("walmart",C9)),ISNUMBER(SEARCH("aliexpress",C9)),ISNUMBER(SEARCH("temu",C9))),"⚠ Retail source — not allowed","✓ Wholesale / own stock"))</f>
        <v/>
      </c>
      <c r="AJ9" s="47" t="str">
        <f aca="false">IF(OR(K9="",G9=""),"",IF(LEFT(AI9,1)="⚠","❌ SKIP",IF(AND(AC9&gt;=Settings!$B$15,AF9&gt;=Settings!$B$16,OR(R9="",N(R9)&gt;=Settings!$B$17)),"✅ GO",IF(AC9&gt;0,"⚠ CHECK","❌ SKIP"))))</f>
        <v/>
      </c>
      <c r="AK9" s="38"/>
    </row>
    <row r="10" customFormat="false" ht="15" hidden="false" customHeight="false" outlineLevel="0" collapsed="false">
      <c r="A10" s="37" t="str">
        <f aca="false">IF(B10="","",ROW()-4)</f>
        <v/>
      </c>
      <c r="B10" s="38"/>
      <c r="C10" s="39"/>
      <c r="D10" s="38"/>
      <c r="E10" s="38"/>
      <c r="F10" s="38"/>
      <c r="G10" s="40"/>
      <c r="H10" s="40"/>
      <c r="I10" s="40"/>
      <c r="J10" s="41" t="str">
        <f aca="false">IF(G10="","",G10+N(H10)+N(I10))</f>
        <v/>
      </c>
      <c r="K10" s="40"/>
      <c r="L10" s="40"/>
      <c r="M10" s="42"/>
      <c r="N10" s="42"/>
      <c r="O10" s="39"/>
      <c r="P10" s="38"/>
      <c r="Q10" s="38"/>
      <c r="R10" s="43" t="str">
        <f aca="false">IF(OR(P10="",Q10=""),"",P10/(P10+Q10))</f>
        <v/>
      </c>
      <c r="S10" s="41" t="str">
        <f aca="false">IF(OR(K10="",G10=""),"",K10+N(L10))</f>
        <v/>
      </c>
      <c r="T10" s="41" t="str">
        <f aca="false">IF(OR(K10="",G10=""),"",S10*Settings!$B$10)</f>
        <v/>
      </c>
      <c r="U10" s="41" t="str">
        <f aca="false">IF(OR(K10="",G10=""),"",(S10+T10)*IF(N10="",Settings!$B$5,N10))</f>
        <v/>
      </c>
      <c r="V10" s="41" t="str">
        <f aca="false">IF(OR(K10="",G10=""),"",IF(S10+T10&lt;=Settings!$B$8,Settings!$B$6,Settings!$B$7))</f>
        <v/>
      </c>
      <c r="W10" s="41" t="str">
        <f aca="false">IF(OR(K10="",G10=""),"",S10*IF(UPPER(O10)="Y",Settings!$B$9,0))</f>
        <v/>
      </c>
      <c r="X10" s="41" t="str">
        <f aca="false">IF(OR(K10="",G10=""),"",(S10+T10)*IF(M10="",Settings!$B$11,M10))</f>
        <v/>
      </c>
      <c r="Y10" s="41" t="str">
        <f aca="false">IF(OR(K10="",G10=""),"",U10+V10+W10+X10)</f>
        <v/>
      </c>
      <c r="Z10" s="41" t="str">
        <f aca="false">IF(OR(K10="",G10=""),"",S10-Y10)</f>
        <v/>
      </c>
      <c r="AA10" s="41" t="str">
        <f aca="false">IF(OR(K10="",G10=""),"",Z10*Settings!$B$12)</f>
        <v/>
      </c>
      <c r="AB10" s="41" t="str">
        <f aca="false">IF(OR(K10="",G10=""),"",S10*Settings!$B$13)</f>
        <v/>
      </c>
      <c r="AC10" s="44" t="str">
        <f aca="false">IF(OR(K10="",G10=""),"",Z10-AA10-AB10-J10)</f>
        <v/>
      </c>
      <c r="AD10" s="45" t="str">
        <f aca="false">IF(OR(K10="",G10=""),"",AC10*Settings!$B$14)</f>
        <v/>
      </c>
      <c r="AE10" s="43" t="str">
        <f aca="false">IF(OR(K10="",G10=""),"",IF(S10=0,"",AC10/S10))</f>
        <v/>
      </c>
      <c r="AF10" s="43" t="str">
        <f aca="false">IF(OR(K10="",G10=""),"",IF(J10=0,"",AC10/J10))</f>
        <v/>
      </c>
      <c r="AG10" s="41" t="str">
        <f aca="false">IF(OR(K10="",G10=""),"",(J10+V10)/(1-(1+Settings!$B$10)*(IF(N10="",Settings!$B$5,N10)+IF(M10="",Settings!$B$11,M10))-IF(UPPER(O10)="Y",Settings!$B$9,0)-Settings!$B$13-Settings!$B$12)-N(L10))</f>
        <v/>
      </c>
      <c r="AH10" s="41" t="str">
        <f aca="false">IF(OR(K10="",G10=""),"",(J10+V10+Settings!$B$15)/(1-(1+Settings!$B$10)*(IF(N10="",Settings!$B$5,N10)+IF(M10="",Settings!$B$11,M10))-IF(UPPER(O10)="Y",Settings!$B$9,0)-Settings!$B$13-Settings!$B$12)-N(L10))</f>
        <v/>
      </c>
      <c r="AI10" s="46" t="str">
        <f aca="false">IF(C10="","",IF(OR(ISNUMBER(SEARCH("amazon",C10)),ISNUMBER(SEARCH("walmart",C10)),ISNUMBER(SEARCH("aliexpress",C10)),ISNUMBER(SEARCH("temu",C10))),"⚠ Retail source — not allowed","✓ Wholesale / own stock"))</f>
        <v/>
      </c>
      <c r="AJ10" s="47" t="str">
        <f aca="false">IF(OR(K10="",G10=""),"",IF(LEFT(AI10,1)="⚠","❌ SKIP",IF(AND(AC10&gt;=Settings!$B$15,AF10&gt;=Settings!$B$16,OR(R10="",N(R10)&gt;=Settings!$B$17)),"✅ GO",IF(AC10&gt;0,"⚠ CHECK","❌ SKIP"))))</f>
        <v/>
      </c>
      <c r="AK10" s="38"/>
    </row>
    <row r="11" customFormat="false" ht="15" hidden="false" customHeight="false" outlineLevel="0" collapsed="false">
      <c r="A11" s="37" t="str">
        <f aca="false">IF(B11="","",ROW()-4)</f>
        <v/>
      </c>
      <c r="B11" s="38"/>
      <c r="C11" s="39"/>
      <c r="D11" s="38"/>
      <c r="E11" s="38"/>
      <c r="F11" s="38"/>
      <c r="G11" s="40"/>
      <c r="H11" s="40"/>
      <c r="I11" s="40"/>
      <c r="J11" s="41" t="str">
        <f aca="false">IF(G11="","",G11+N(H11)+N(I11))</f>
        <v/>
      </c>
      <c r="K11" s="40"/>
      <c r="L11" s="40"/>
      <c r="M11" s="42"/>
      <c r="N11" s="42"/>
      <c r="O11" s="39"/>
      <c r="P11" s="38"/>
      <c r="Q11" s="38"/>
      <c r="R11" s="43" t="str">
        <f aca="false">IF(OR(P11="",Q11=""),"",P11/(P11+Q11))</f>
        <v/>
      </c>
      <c r="S11" s="41" t="str">
        <f aca="false">IF(OR(K11="",G11=""),"",K11+N(L11))</f>
        <v/>
      </c>
      <c r="T11" s="41" t="str">
        <f aca="false">IF(OR(K11="",G11=""),"",S11*Settings!$B$10)</f>
        <v/>
      </c>
      <c r="U11" s="41" t="str">
        <f aca="false">IF(OR(K11="",G11=""),"",(S11+T11)*IF(N11="",Settings!$B$5,N11))</f>
        <v/>
      </c>
      <c r="V11" s="41" t="str">
        <f aca="false">IF(OR(K11="",G11=""),"",IF(S11+T11&lt;=Settings!$B$8,Settings!$B$6,Settings!$B$7))</f>
        <v/>
      </c>
      <c r="W11" s="41" t="str">
        <f aca="false">IF(OR(K11="",G11=""),"",S11*IF(UPPER(O11)="Y",Settings!$B$9,0))</f>
        <v/>
      </c>
      <c r="X11" s="41" t="str">
        <f aca="false">IF(OR(K11="",G11=""),"",(S11+T11)*IF(M11="",Settings!$B$11,M11))</f>
        <v/>
      </c>
      <c r="Y11" s="41" t="str">
        <f aca="false">IF(OR(K11="",G11=""),"",U11+V11+W11+X11)</f>
        <v/>
      </c>
      <c r="Z11" s="41" t="str">
        <f aca="false">IF(OR(K11="",G11=""),"",S11-Y11)</f>
        <v/>
      </c>
      <c r="AA11" s="41" t="str">
        <f aca="false">IF(OR(K11="",G11=""),"",Z11*Settings!$B$12)</f>
        <v/>
      </c>
      <c r="AB11" s="41" t="str">
        <f aca="false">IF(OR(K11="",G11=""),"",S11*Settings!$B$13)</f>
        <v/>
      </c>
      <c r="AC11" s="44" t="str">
        <f aca="false">IF(OR(K11="",G11=""),"",Z11-AA11-AB11-J11)</f>
        <v/>
      </c>
      <c r="AD11" s="45" t="str">
        <f aca="false">IF(OR(K11="",G11=""),"",AC11*Settings!$B$14)</f>
        <v/>
      </c>
      <c r="AE11" s="43" t="str">
        <f aca="false">IF(OR(K11="",G11=""),"",IF(S11=0,"",AC11/S11))</f>
        <v/>
      </c>
      <c r="AF11" s="43" t="str">
        <f aca="false">IF(OR(K11="",G11=""),"",IF(J11=0,"",AC11/J11))</f>
        <v/>
      </c>
      <c r="AG11" s="41" t="str">
        <f aca="false">IF(OR(K11="",G11=""),"",(J11+V11)/(1-(1+Settings!$B$10)*(IF(N11="",Settings!$B$5,N11)+IF(M11="",Settings!$B$11,M11))-IF(UPPER(O11)="Y",Settings!$B$9,0)-Settings!$B$13-Settings!$B$12)-N(L11))</f>
        <v/>
      </c>
      <c r="AH11" s="41" t="str">
        <f aca="false">IF(OR(K11="",G11=""),"",(J11+V11+Settings!$B$15)/(1-(1+Settings!$B$10)*(IF(N11="",Settings!$B$5,N11)+IF(M11="",Settings!$B$11,M11))-IF(UPPER(O11)="Y",Settings!$B$9,0)-Settings!$B$13-Settings!$B$12)-N(L11))</f>
        <v/>
      </c>
      <c r="AI11" s="46" t="str">
        <f aca="false">IF(C11="","",IF(OR(ISNUMBER(SEARCH("amazon",C11)),ISNUMBER(SEARCH("walmart",C11)),ISNUMBER(SEARCH("aliexpress",C11)),ISNUMBER(SEARCH("temu",C11))),"⚠ Retail source — not allowed","✓ Wholesale / own stock"))</f>
        <v/>
      </c>
      <c r="AJ11" s="47" t="str">
        <f aca="false">IF(OR(K11="",G11=""),"",IF(LEFT(AI11,1)="⚠","❌ SKIP",IF(AND(AC11&gt;=Settings!$B$15,AF11&gt;=Settings!$B$16,OR(R11="",N(R11)&gt;=Settings!$B$17)),"✅ GO",IF(AC11&gt;0,"⚠ CHECK","❌ SKIP"))))</f>
        <v/>
      </c>
      <c r="AK11" s="38"/>
    </row>
    <row r="12" customFormat="false" ht="15" hidden="false" customHeight="false" outlineLevel="0" collapsed="false">
      <c r="A12" s="37" t="str">
        <f aca="false">IF(B12="","",ROW()-4)</f>
        <v/>
      </c>
      <c r="B12" s="38"/>
      <c r="C12" s="39"/>
      <c r="D12" s="38"/>
      <c r="E12" s="38"/>
      <c r="F12" s="38"/>
      <c r="G12" s="40"/>
      <c r="H12" s="40"/>
      <c r="I12" s="40"/>
      <c r="J12" s="41" t="str">
        <f aca="false">IF(G12="","",G12+N(H12)+N(I12))</f>
        <v/>
      </c>
      <c r="K12" s="40"/>
      <c r="L12" s="40"/>
      <c r="M12" s="42"/>
      <c r="N12" s="42"/>
      <c r="O12" s="39"/>
      <c r="P12" s="38"/>
      <c r="Q12" s="38"/>
      <c r="R12" s="43" t="str">
        <f aca="false">IF(OR(P12="",Q12=""),"",P12/(P12+Q12))</f>
        <v/>
      </c>
      <c r="S12" s="41" t="str">
        <f aca="false">IF(OR(K12="",G12=""),"",K12+N(L12))</f>
        <v/>
      </c>
      <c r="T12" s="41" t="str">
        <f aca="false">IF(OR(K12="",G12=""),"",S12*Settings!$B$10)</f>
        <v/>
      </c>
      <c r="U12" s="41" t="str">
        <f aca="false">IF(OR(K12="",G12=""),"",(S12+T12)*IF(N12="",Settings!$B$5,N12))</f>
        <v/>
      </c>
      <c r="V12" s="41" t="str">
        <f aca="false">IF(OR(K12="",G12=""),"",IF(S12+T12&lt;=Settings!$B$8,Settings!$B$6,Settings!$B$7))</f>
        <v/>
      </c>
      <c r="W12" s="41" t="str">
        <f aca="false">IF(OR(K12="",G12=""),"",S12*IF(UPPER(O12)="Y",Settings!$B$9,0))</f>
        <v/>
      </c>
      <c r="X12" s="41" t="str">
        <f aca="false">IF(OR(K12="",G12=""),"",(S12+T12)*IF(M12="",Settings!$B$11,M12))</f>
        <v/>
      </c>
      <c r="Y12" s="41" t="str">
        <f aca="false">IF(OR(K12="",G12=""),"",U12+V12+W12+X12)</f>
        <v/>
      </c>
      <c r="Z12" s="41" t="str">
        <f aca="false">IF(OR(K12="",G12=""),"",S12-Y12)</f>
        <v/>
      </c>
      <c r="AA12" s="41" t="str">
        <f aca="false">IF(OR(K12="",G12=""),"",Z12*Settings!$B$12)</f>
        <v/>
      </c>
      <c r="AB12" s="41" t="str">
        <f aca="false">IF(OR(K12="",G12=""),"",S12*Settings!$B$13)</f>
        <v/>
      </c>
      <c r="AC12" s="44" t="str">
        <f aca="false">IF(OR(K12="",G12=""),"",Z12-AA12-AB12-J12)</f>
        <v/>
      </c>
      <c r="AD12" s="45" t="str">
        <f aca="false">IF(OR(K12="",G12=""),"",AC12*Settings!$B$14)</f>
        <v/>
      </c>
      <c r="AE12" s="43" t="str">
        <f aca="false">IF(OR(K12="",G12=""),"",IF(S12=0,"",AC12/S12))</f>
        <v/>
      </c>
      <c r="AF12" s="43" t="str">
        <f aca="false">IF(OR(K12="",G12=""),"",IF(J12=0,"",AC12/J12))</f>
        <v/>
      </c>
      <c r="AG12" s="41" t="str">
        <f aca="false">IF(OR(K12="",G12=""),"",(J12+V12)/(1-(1+Settings!$B$10)*(IF(N12="",Settings!$B$5,N12)+IF(M12="",Settings!$B$11,M12))-IF(UPPER(O12)="Y",Settings!$B$9,0)-Settings!$B$13-Settings!$B$12)-N(L12))</f>
        <v/>
      </c>
      <c r="AH12" s="41" t="str">
        <f aca="false">IF(OR(K12="",G12=""),"",(J12+V12+Settings!$B$15)/(1-(1+Settings!$B$10)*(IF(N12="",Settings!$B$5,N12)+IF(M12="",Settings!$B$11,M12))-IF(UPPER(O12)="Y",Settings!$B$9,0)-Settings!$B$13-Settings!$B$12)-N(L12))</f>
        <v/>
      </c>
      <c r="AI12" s="46" t="str">
        <f aca="false">IF(C12="","",IF(OR(ISNUMBER(SEARCH("amazon",C12)),ISNUMBER(SEARCH("walmart",C12)),ISNUMBER(SEARCH("aliexpress",C12)),ISNUMBER(SEARCH("temu",C12))),"⚠ Retail source — not allowed","✓ Wholesale / own stock"))</f>
        <v/>
      </c>
      <c r="AJ12" s="47" t="str">
        <f aca="false">IF(OR(K12="",G12=""),"",IF(LEFT(AI12,1)="⚠","❌ SKIP",IF(AND(AC12&gt;=Settings!$B$15,AF12&gt;=Settings!$B$16,OR(R12="",N(R12)&gt;=Settings!$B$17)),"✅ GO",IF(AC12&gt;0,"⚠ CHECK","❌ SKIP"))))</f>
        <v/>
      </c>
      <c r="AK12" s="38"/>
    </row>
    <row r="13" customFormat="false" ht="15" hidden="false" customHeight="false" outlineLevel="0" collapsed="false">
      <c r="A13" s="37" t="str">
        <f aca="false">IF(B13="","",ROW()-4)</f>
        <v/>
      </c>
      <c r="B13" s="38"/>
      <c r="C13" s="39"/>
      <c r="D13" s="38"/>
      <c r="E13" s="38"/>
      <c r="F13" s="38"/>
      <c r="G13" s="40"/>
      <c r="H13" s="40"/>
      <c r="I13" s="40"/>
      <c r="J13" s="41" t="str">
        <f aca="false">IF(G13="","",G13+N(H13)+N(I13))</f>
        <v/>
      </c>
      <c r="K13" s="40"/>
      <c r="L13" s="40"/>
      <c r="M13" s="42"/>
      <c r="N13" s="42"/>
      <c r="O13" s="39"/>
      <c r="P13" s="38"/>
      <c r="Q13" s="38"/>
      <c r="R13" s="43" t="str">
        <f aca="false">IF(OR(P13="",Q13=""),"",P13/(P13+Q13))</f>
        <v/>
      </c>
      <c r="S13" s="41" t="str">
        <f aca="false">IF(OR(K13="",G13=""),"",K13+N(L13))</f>
        <v/>
      </c>
      <c r="T13" s="41" t="str">
        <f aca="false">IF(OR(K13="",G13=""),"",S13*Settings!$B$10)</f>
        <v/>
      </c>
      <c r="U13" s="41" t="str">
        <f aca="false">IF(OR(K13="",G13=""),"",(S13+T13)*IF(N13="",Settings!$B$5,N13))</f>
        <v/>
      </c>
      <c r="V13" s="41" t="str">
        <f aca="false">IF(OR(K13="",G13=""),"",IF(S13+T13&lt;=Settings!$B$8,Settings!$B$6,Settings!$B$7))</f>
        <v/>
      </c>
      <c r="W13" s="41" t="str">
        <f aca="false">IF(OR(K13="",G13=""),"",S13*IF(UPPER(O13)="Y",Settings!$B$9,0))</f>
        <v/>
      </c>
      <c r="X13" s="41" t="str">
        <f aca="false">IF(OR(K13="",G13=""),"",(S13+T13)*IF(M13="",Settings!$B$11,M13))</f>
        <v/>
      </c>
      <c r="Y13" s="41" t="str">
        <f aca="false">IF(OR(K13="",G13=""),"",U13+V13+W13+X13)</f>
        <v/>
      </c>
      <c r="Z13" s="41" t="str">
        <f aca="false">IF(OR(K13="",G13=""),"",S13-Y13)</f>
        <v/>
      </c>
      <c r="AA13" s="41" t="str">
        <f aca="false">IF(OR(K13="",G13=""),"",Z13*Settings!$B$12)</f>
        <v/>
      </c>
      <c r="AB13" s="41" t="str">
        <f aca="false">IF(OR(K13="",G13=""),"",S13*Settings!$B$13)</f>
        <v/>
      </c>
      <c r="AC13" s="44" t="str">
        <f aca="false">IF(OR(K13="",G13=""),"",Z13-AA13-AB13-J13)</f>
        <v/>
      </c>
      <c r="AD13" s="45" t="str">
        <f aca="false">IF(OR(K13="",G13=""),"",AC13*Settings!$B$14)</f>
        <v/>
      </c>
      <c r="AE13" s="43" t="str">
        <f aca="false">IF(OR(K13="",G13=""),"",IF(S13=0,"",AC13/S13))</f>
        <v/>
      </c>
      <c r="AF13" s="43" t="str">
        <f aca="false">IF(OR(K13="",G13=""),"",IF(J13=0,"",AC13/J13))</f>
        <v/>
      </c>
      <c r="AG13" s="41" t="str">
        <f aca="false">IF(OR(K13="",G13=""),"",(J13+V13)/(1-(1+Settings!$B$10)*(IF(N13="",Settings!$B$5,N13)+IF(M13="",Settings!$B$11,M13))-IF(UPPER(O13)="Y",Settings!$B$9,0)-Settings!$B$13-Settings!$B$12)-N(L13))</f>
        <v/>
      </c>
      <c r="AH13" s="41" t="str">
        <f aca="false">IF(OR(K13="",G13=""),"",(J13+V13+Settings!$B$15)/(1-(1+Settings!$B$10)*(IF(N13="",Settings!$B$5,N13)+IF(M13="",Settings!$B$11,M13))-IF(UPPER(O13)="Y",Settings!$B$9,0)-Settings!$B$13-Settings!$B$12)-N(L13))</f>
        <v/>
      </c>
      <c r="AI13" s="46" t="str">
        <f aca="false">IF(C13="","",IF(OR(ISNUMBER(SEARCH("amazon",C13)),ISNUMBER(SEARCH("walmart",C13)),ISNUMBER(SEARCH("aliexpress",C13)),ISNUMBER(SEARCH("temu",C13))),"⚠ Retail source — not allowed","✓ Wholesale / own stock"))</f>
        <v/>
      </c>
      <c r="AJ13" s="47" t="str">
        <f aca="false">IF(OR(K13="",G13=""),"",IF(LEFT(AI13,1)="⚠","❌ SKIP",IF(AND(AC13&gt;=Settings!$B$15,AF13&gt;=Settings!$B$16,OR(R13="",N(R13)&gt;=Settings!$B$17)),"✅ GO",IF(AC13&gt;0,"⚠ CHECK","❌ SKIP"))))</f>
        <v/>
      </c>
      <c r="AK13" s="38"/>
    </row>
    <row r="14" customFormat="false" ht="15" hidden="false" customHeight="false" outlineLevel="0" collapsed="false">
      <c r="A14" s="37" t="str">
        <f aca="false">IF(B14="","",ROW()-4)</f>
        <v/>
      </c>
      <c r="B14" s="38"/>
      <c r="C14" s="39"/>
      <c r="D14" s="38"/>
      <c r="E14" s="38"/>
      <c r="F14" s="38"/>
      <c r="G14" s="40"/>
      <c r="H14" s="40"/>
      <c r="I14" s="40"/>
      <c r="J14" s="41" t="str">
        <f aca="false">IF(G14="","",G14+N(H14)+N(I14))</f>
        <v/>
      </c>
      <c r="K14" s="40"/>
      <c r="L14" s="40"/>
      <c r="M14" s="42"/>
      <c r="N14" s="42"/>
      <c r="O14" s="39"/>
      <c r="P14" s="38"/>
      <c r="Q14" s="38"/>
      <c r="R14" s="43" t="str">
        <f aca="false">IF(OR(P14="",Q14=""),"",P14/(P14+Q14))</f>
        <v/>
      </c>
      <c r="S14" s="41" t="str">
        <f aca="false">IF(OR(K14="",G14=""),"",K14+N(L14))</f>
        <v/>
      </c>
      <c r="T14" s="41" t="str">
        <f aca="false">IF(OR(K14="",G14=""),"",S14*Settings!$B$10)</f>
        <v/>
      </c>
      <c r="U14" s="41" t="str">
        <f aca="false">IF(OR(K14="",G14=""),"",(S14+T14)*IF(N14="",Settings!$B$5,N14))</f>
        <v/>
      </c>
      <c r="V14" s="41" t="str">
        <f aca="false">IF(OR(K14="",G14=""),"",IF(S14+T14&lt;=Settings!$B$8,Settings!$B$6,Settings!$B$7))</f>
        <v/>
      </c>
      <c r="W14" s="41" t="str">
        <f aca="false">IF(OR(K14="",G14=""),"",S14*IF(UPPER(O14)="Y",Settings!$B$9,0))</f>
        <v/>
      </c>
      <c r="X14" s="41" t="str">
        <f aca="false">IF(OR(K14="",G14=""),"",(S14+T14)*IF(M14="",Settings!$B$11,M14))</f>
        <v/>
      </c>
      <c r="Y14" s="41" t="str">
        <f aca="false">IF(OR(K14="",G14=""),"",U14+V14+W14+X14)</f>
        <v/>
      </c>
      <c r="Z14" s="41" t="str">
        <f aca="false">IF(OR(K14="",G14=""),"",S14-Y14)</f>
        <v/>
      </c>
      <c r="AA14" s="41" t="str">
        <f aca="false">IF(OR(K14="",G14=""),"",Z14*Settings!$B$12)</f>
        <v/>
      </c>
      <c r="AB14" s="41" t="str">
        <f aca="false">IF(OR(K14="",G14=""),"",S14*Settings!$B$13)</f>
        <v/>
      </c>
      <c r="AC14" s="44" t="str">
        <f aca="false">IF(OR(K14="",G14=""),"",Z14-AA14-AB14-J14)</f>
        <v/>
      </c>
      <c r="AD14" s="45" t="str">
        <f aca="false">IF(OR(K14="",G14=""),"",AC14*Settings!$B$14)</f>
        <v/>
      </c>
      <c r="AE14" s="43" t="str">
        <f aca="false">IF(OR(K14="",G14=""),"",IF(S14=0,"",AC14/S14))</f>
        <v/>
      </c>
      <c r="AF14" s="43" t="str">
        <f aca="false">IF(OR(K14="",G14=""),"",IF(J14=0,"",AC14/J14))</f>
        <v/>
      </c>
      <c r="AG14" s="41" t="str">
        <f aca="false">IF(OR(K14="",G14=""),"",(J14+V14)/(1-(1+Settings!$B$10)*(IF(N14="",Settings!$B$5,N14)+IF(M14="",Settings!$B$11,M14))-IF(UPPER(O14)="Y",Settings!$B$9,0)-Settings!$B$13-Settings!$B$12)-N(L14))</f>
        <v/>
      </c>
      <c r="AH14" s="41" t="str">
        <f aca="false">IF(OR(K14="",G14=""),"",(J14+V14+Settings!$B$15)/(1-(1+Settings!$B$10)*(IF(N14="",Settings!$B$5,N14)+IF(M14="",Settings!$B$11,M14))-IF(UPPER(O14)="Y",Settings!$B$9,0)-Settings!$B$13-Settings!$B$12)-N(L14))</f>
        <v/>
      </c>
      <c r="AI14" s="46" t="str">
        <f aca="false">IF(C14="","",IF(OR(ISNUMBER(SEARCH("amazon",C14)),ISNUMBER(SEARCH("walmart",C14)),ISNUMBER(SEARCH("aliexpress",C14)),ISNUMBER(SEARCH("temu",C14))),"⚠ Retail source — not allowed","✓ Wholesale / own stock"))</f>
        <v/>
      </c>
      <c r="AJ14" s="47" t="str">
        <f aca="false">IF(OR(K14="",G14=""),"",IF(LEFT(AI14,1)="⚠","❌ SKIP",IF(AND(AC14&gt;=Settings!$B$15,AF14&gt;=Settings!$B$16,OR(R14="",N(R14)&gt;=Settings!$B$17)),"✅ GO",IF(AC14&gt;0,"⚠ CHECK","❌ SKIP"))))</f>
        <v/>
      </c>
      <c r="AK14" s="38"/>
    </row>
    <row r="15" customFormat="false" ht="15" hidden="false" customHeight="false" outlineLevel="0" collapsed="false">
      <c r="A15" s="37" t="str">
        <f aca="false">IF(B15="","",ROW()-4)</f>
        <v/>
      </c>
      <c r="B15" s="38"/>
      <c r="C15" s="39"/>
      <c r="D15" s="38"/>
      <c r="E15" s="38"/>
      <c r="F15" s="38"/>
      <c r="G15" s="40"/>
      <c r="H15" s="40"/>
      <c r="I15" s="40"/>
      <c r="J15" s="41" t="str">
        <f aca="false">IF(G15="","",G15+N(H15)+N(I15))</f>
        <v/>
      </c>
      <c r="K15" s="40"/>
      <c r="L15" s="40"/>
      <c r="M15" s="42"/>
      <c r="N15" s="42"/>
      <c r="O15" s="39"/>
      <c r="P15" s="38"/>
      <c r="Q15" s="38"/>
      <c r="R15" s="43" t="str">
        <f aca="false">IF(OR(P15="",Q15=""),"",P15/(P15+Q15))</f>
        <v/>
      </c>
      <c r="S15" s="41" t="str">
        <f aca="false">IF(OR(K15="",G15=""),"",K15+N(L15))</f>
        <v/>
      </c>
      <c r="T15" s="41" t="str">
        <f aca="false">IF(OR(K15="",G15=""),"",S15*Settings!$B$10)</f>
        <v/>
      </c>
      <c r="U15" s="41" t="str">
        <f aca="false">IF(OR(K15="",G15=""),"",(S15+T15)*IF(N15="",Settings!$B$5,N15))</f>
        <v/>
      </c>
      <c r="V15" s="41" t="str">
        <f aca="false">IF(OR(K15="",G15=""),"",IF(S15+T15&lt;=Settings!$B$8,Settings!$B$6,Settings!$B$7))</f>
        <v/>
      </c>
      <c r="W15" s="41" t="str">
        <f aca="false">IF(OR(K15="",G15=""),"",S15*IF(UPPER(O15)="Y",Settings!$B$9,0))</f>
        <v/>
      </c>
      <c r="X15" s="41" t="str">
        <f aca="false">IF(OR(K15="",G15=""),"",(S15+T15)*IF(M15="",Settings!$B$11,M15))</f>
        <v/>
      </c>
      <c r="Y15" s="41" t="str">
        <f aca="false">IF(OR(K15="",G15=""),"",U15+V15+W15+X15)</f>
        <v/>
      </c>
      <c r="Z15" s="41" t="str">
        <f aca="false">IF(OR(K15="",G15=""),"",S15-Y15)</f>
        <v/>
      </c>
      <c r="AA15" s="41" t="str">
        <f aca="false">IF(OR(K15="",G15=""),"",Z15*Settings!$B$12)</f>
        <v/>
      </c>
      <c r="AB15" s="41" t="str">
        <f aca="false">IF(OR(K15="",G15=""),"",S15*Settings!$B$13)</f>
        <v/>
      </c>
      <c r="AC15" s="44" t="str">
        <f aca="false">IF(OR(K15="",G15=""),"",Z15-AA15-AB15-J15)</f>
        <v/>
      </c>
      <c r="AD15" s="45" t="str">
        <f aca="false">IF(OR(K15="",G15=""),"",AC15*Settings!$B$14)</f>
        <v/>
      </c>
      <c r="AE15" s="43" t="str">
        <f aca="false">IF(OR(K15="",G15=""),"",IF(S15=0,"",AC15/S15))</f>
        <v/>
      </c>
      <c r="AF15" s="43" t="str">
        <f aca="false">IF(OR(K15="",G15=""),"",IF(J15=0,"",AC15/J15))</f>
        <v/>
      </c>
      <c r="AG15" s="41" t="str">
        <f aca="false">IF(OR(K15="",G15=""),"",(J15+V15)/(1-(1+Settings!$B$10)*(IF(N15="",Settings!$B$5,N15)+IF(M15="",Settings!$B$11,M15))-IF(UPPER(O15)="Y",Settings!$B$9,0)-Settings!$B$13-Settings!$B$12)-N(L15))</f>
        <v/>
      </c>
      <c r="AH15" s="41" t="str">
        <f aca="false">IF(OR(K15="",G15=""),"",(J15+V15+Settings!$B$15)/(1-(1+Settings!$B$10)*(IF(N15="",Settings!$B$5,N15)+IF(M15="",Settings!$B$11,M15))-IF(UPPER(O15)="Y",Settings!$B$9,0)-Settings!$B$13-Settings!$B$12)-N(L15))</f>
        <v/>
      </c>
      <c r="AI15" s="46" t="str">
        <f aca="false">IF(C15="","",IF(OR(ISNUMBER(SEARCH("amazon",C15)),ISNUMBER(SEARCH("walmart",C15)),ISNUMBER(SEARCH("aliexpress",C15)),ISNUMBER(SEARCH("temu",C15))),"⚠ Retail source — not allowed","✓ Wholesale / own stock"))</f>
        <v/>
      </c>
      <c r="AJ15" s="47" t="str">
        <f aca="false">IF(OR(K15="",G15=""),"",IF(LEFT(AI15,1)="⚠","❌ SKIP",IF(AND(AC15&gt;=Settings!$B$15,AF15&gt;=Settings!$B$16,OR(R15="",N(R15)&gt;=Settings!$B$17)),"✅ GO",IF(AC15&gt;0,"⚠ CHECK","❌ SKIP"))))</f>
        <v/>
      </c>
      <c r="AK15" s="38"/>
    </row>
    <row r="16" customFormat="false" ht="15" hidden="false" customHeight="false" outlineLevel="0" collapsed="false">
      <c r="A16" s="37" t="str">
        <f aca="false">IF(B16="","",ROW()-4)</f>
        <v/>
      </c>
      <c r="B16" s="38"/>
      <c r="C16" s="39"/>
      <c r="D16" s="38"/>
      <c r="E16" s="38"/>
      <c r="F16" s="38"/>
      <c r="G16" s="40"/>
      <c r="H16" s="40"/>
      <c r="I16" s="40"/>
      <c r="J16" s="41" t="str">
        <f aca="false">IF(G16="","",G16+N(H16)+N(I16))</f>
        <v/>
      </c>
      <c r="K16" s="40"/>
      <c r="L16" s="40"/>
      <c r="M16" s="42"/>
      <c r="N16" s="42"/>
      <c r="O16" s="39"/>
      <c r="P16" s="38"/>
      <c r="Q16" s="38"/>
      <c r="R16" s="43" t="str">
        <f aca="false">IF(OR(P16="",Q16=""),"",P16/(P16+Q16))</f>
        <v/>
      </c>
      <c r="S16" s="41" t="str">
        <f aca="false">IF(OR(K16="",G16=""),"",K16+N(L16))</f>
        <v/>
      </c>
      <c r="T16" s="41" t="str">
        <f aca="false">IF(OR(K16="",G16=""),"",S16*Settings!$B$10)</f>
        <v/>
      </c>
      <c r="U16" s="41" t="str">
        <f aca="false">IF(OR(K16="",G16=""),"",(S16+T16)*IF(N16="",Settings!$B$5,N16))</f>
        <v/>
      </c>
      <c r="V16" s="41" t="str">
        <f aca="false">IF(OR(K16="",G16=""),"",IF(S16+T16&lt;=Settings!$B$8,Settings!$B$6,Settings!$B$7))</f>
        <v/>
      </c>
      <c r="W16" s="41" t="str">
        <f aca="false">IF(OR(K16="",G16=""),"",S16*IF(UPPER(O16)="Y",Settings!$B$9,0))</f>
        <v/>
      </c>
      <c r="X16" s="41" t="str">
        <f aca="false">IF(OR(K16="",G16=""),"",(S16+T16)*IF(M16="",Settings!$B$11,M16))</f>
        <v/>
      </c>
      <c r="Y16" s="41" t="str">
        <f aca="false">IF(OR(K16="",G16=""),"",U16+V16+W16+X16)</f>
        <v/>
      </c>
      <c r="Z16" s="41" t="str">
        <f aca="false">IF(OR(K16="",G16=""),"",S16-Y16)</f>
        <v/>
      </c>
      <c r="AA16" s="41" t="str">
        <f aca="false">IF(OR(K16="",G16=""),"",Z16*Settings!$B$12)</f>
        <v/>
      </c>
      <c r="AB16" s="41" t="str">
        <f aca="false">IF(OR(K16="",G16=""),"",S16*Settings!$B$13)</f>
        <v/>
      </c>
      <c r="AC16" s="44" t="str">
        <f aca="false">IF(OR(K16="",G16=""),"",Z16-AA16-AB16-J16)</f>
        <v/>
      </c>
      <c r="AD16" s="45" t="str">
        <f aca="false">IF(OR(K16="",G16=""),"",AC16*Settings!$B$14)</f>
        <v/>
      </c>
      <c r="AE16" s="43" t="str">
        <f aca="false">IF(OR(K16="",G16=""),"",IF(S16=0,"",AC16/S16))</f>
        <v/>
      </c>
      <c r="AF16" s="43" t="str">
        <f aca="false">IF(OR(K16="",G16=""),"",IF(J16=0,"",AC16/J16))</f>
        <v/>
      </c>
      <c r="AG16" s="41" t="str">
        <f aca="false">IF(OR(K16="",G16=""),"",(J16+V16)/(1-(1+Settings!$B$10)*(IF(N16="",Settings!$B$5,N16)+IF(M16="",Settings!$B$11,M16))-IF(UPPER(O16)="Y",Settings!$B$9,0)-Settings!$B$13-Settings!$B$12)-N(L16))</f>
        <v/>
      </c>
      <c r="AH16" s="41" t="str">
        <f aca="false">IF(OR(K16="",G16=""),"",(J16+V16+Settings!$B$15)/(1-(1+Settings!$B$10)*(IF(N16="",Settings!$B$5,N16)+IF(M16="",Settings!$B$11,M16))-IF(UPPER(O16)="Y",Settings!$B$9,0)-Settings!$B$13-Settings!$B$12)-N(L16))</f>
        <v/>
      </c>
      <c r="AI16" s="46" t="str">
        <f aca="false">IF(C16="","",IF(OR(ISNUMBER(SEARCH("amazon",C16)),ISNUMBER(SEARCH("walmart",C16)),ISNUMBER(SEARCH("aliexpress",C16)),ISNUMBER(SEARCH("temu",C16))),"⚠ Retail source — not allowed","✓ Wholesale / own stock"))</f>
        <v/>
      </c>
      <c r="AJ16" s="47" t="str">
        <f aca="false">IF(OR(K16="",G16=""),"",IF(LEFT(AI16,1)="⚠","❌ SKIP",IF(AND(AC16&gt;=Settings!$B$15,AF16&gt;=Settings!$B$16,OR(R16="",N(R16)&gt;=Settings!$B$17)),"✅ GO",IF(AC16&gt;0,"⚠ CHECK","❌ SKIP"))))</f>
        <v/>
      </c>
      <c r="AK16" s="38"/>
    </row>
    <row r="17" customFormat="false" ht="15" hidden="false" customHeight="false" outlineLevel="0" collapsed="false">
      <c r="A17" s="37" t="str">
        <f aca="false">IF(B17="","",ROW()-4)</f>
        <v/>
      </c>
      <c r="B17" s="38"/>
      <c r="C17" s="39"/>
      <c r="D17" s="38"/>
      <c r="E17" s="38"/>
      <c r="F17" s="38"/>
      <c r="G17" s="40"/>
      <c r="H17" s="40"/>
      <c r="I17" s="40"/>
      <c r="J17" s="41" t="str">
        <f aca="false">IF(G17="","",G17+N(H17)+N(I17))</f>
        <v/>
      </c>
      <c r="K17" s="40"/>
      <c r="L17" s="40"/>
      <c r="M17" s="42"/>
      <c r="N17" s="42"/>
      <c r="O17" s="39"/>
      <c r="P17" s="38"/>
      <c r="Q17" s="38"/>
      <c r="R17" s="43" t="str">
        <f aca="false">IF(OR(P17="",Q17=""),"",P17/(P17+Q17))</f>
        <v/>
      </c>
      <c r="S17" s="41" t="str">
        <f aca="false">IF(OR(K17="",G17=""),"",K17+N(L17))</f>
        <v/>
      </c>
      <c r="T17" s="41" t="str">
        <f aca="false">IF(OR(K17="",G17=""),"",S17*Settings!$B$10)</f>
        <v/>
      </c>
      <c r="U17" s="41" t="str">
        <f aca="false">IF(OR(K17="",G17=""),"",(S17+T17)*IF(N17="",Settings!$B$5,N17))</f>
        <v/>
      </c>
      <c r="V17" s="41" t="str">
        <f aca="false">IF(OR(K17="",G17=""),"",IF(S17+T17&lt;=Settings!$B$8,Settings!$B$6,Settings!$B$7))</f>
        <v/>
      </c>
      <c r="W17" s="41" t="str">
        <f aca="false">IF(OR(K17="",G17=""),"",S17*IF(UPPER(O17)="Y",Settings!$B$9,0))</f>
        <v/>
      </c>
      <c r="X17" s="41" t="str">
        <f aca="false">IF(OR(K17="",G17=""),"",(S17+T17)*IF(M17="",Settings!$B$11,M17))</f>
        <v/>
      </c>
      <c r="Y17" s="41" t="str">
        <f aca="false">IF(OR(K17="",G17=""),"",U17+V17+W17+X17)</f>
        <v/>
      </c>
      <c r="Z17" s="41" t="str">
        <f aca="false">IF(OR(K17="",G17=""),"",S17-Y17)</f>
        <v/>
      </c>
      <c r="AA17" s="41" t="str">
        <f aca="false">IF(OR(K17="",G17=""),"",Z17*Settings!$B$12)</f>
        <v/>
      </c>
      <c r="AB17" s="41" t="str">
        <f aca="false">IF(OR(K17="",G17=""),"",S17*Settings!$B$13)</f>
        <v/>
      </c>
      <c r="AC17" s="44" t="str">
        <f aca="false">IF(OR(K17="",G17=""),"",Z17-AA17-AB17-J17)</f>
        <v/>
      </c>
      <c r="AD17" s="45" t="str">
        <f aca="false">IF(OR(K17="",G17=""),"",AC17*Settings!$B$14)</f>
        <v/>
      </c>
      <c r="AE17" s="43" t="str">
        <f aca="false">IF(OR(K17="",G17=""),"",IF(S17=0,"",AC17/S17))</f>
        <v/>
      </c>
      <c r="AF17" s="43" t="str">
        <f aca="false">IF(OR(K17="",G17=""),"",IF(J17=0,"",AC17/J17))</f>
        <v/>
      </c>
      <c r="AG17" s="41" t="str">
        <f aca="false">IF(OR(K17="",G17=""),"",(J17+V17)/(1-(1+Settings!$B$10)*(IF(N17="",Settings!$B$5,N17)+IF(M17="",Settings!$B$11,M17))-IF(UPPER(O17)="Y",Settings!$B$9,0)-Settings!$B$13-Settings!$B$12)-N(L17))</f>
        <v/>
      </c>
      <c r="AH17" s="41" t="str">
        <f aca="false">IF(OR(K17="",G17=""),"",(J17+V17+Settings!$B$15)/(1-(1+Settings!$B$10)*(IF(N17="",Settings!$B$5,N17)+IF(M17="",Settings!$B$11,M17))-IF(UPPER(O17)="Y",Settings!$B$9,0)-Settings!$B$13-Settings!$B$12)-N(L17))</f>
        <v/>
      </c>
      <c r="AI17" s="46" t="str">
        <f aca="false">IF(C17="","",IF(OR(ISNUMBER(SEARCH("amazon",C17)),ISNUMBER(SEARCH("walmart",C17)),ISNUMBER(SEARCH("aliexpress",C17)),ISNUMBER(SEARCH("temu",C17))),"⚠ Retail source — not allowed","✓ Wholesale / own stock"))</f>
        <v/>
      </c>
      <c r="AJ17" s="47" t="str">
        <f aca="false">IF(OR(K17="",G17=""),"",IF(LEFT(AI17,1)="⚠","❌ SKIP",IF(AND(AC17&gt;=Settings!$B$15,AF17&gt;=Settings!$B$16,OR(R17="",N(R17)&gt;=Settings!$B$17)),"✅ GO",IF(AC17&gt;0,"⚠ CHECK","❌ SKIP"))))</f>
        <v/>
      </c>
      <c r="AK17" s="38"/>
    </row>
    <row r="18" customFormat="false" ht="15" hidden="false" customHeight="false" outlineLevel="0" collapsed="false">
      <c r="A18" s="37" t="str">
        <f aca="false">IF(B18="","",ROW()-4)</f>
        <v/>
      </c>
      <c r="B18" s="38"/>
      <c r="C18" s="39"/>
      <c r="D18" s="38"/>
      <c r="E18" s="38"/>
      <c r="F18" s="38"/>
      <c r="G18" s="40"/>
      <c r="H18" s="40"/>
      <c r="I18" s="40"/>
      <c r="J18" s="41" t="str">
        <f aca="false">IF(G18="","",G18+N(H18)+N(I18))</f>
        <v/>
      </c>
      <c r="K18" s="40"/>
      <c r="L18" s="40"/>
      <c r="M18" s="42"/>
      <c r="N18" s="42"/>
      <c r="O18" s="39"/>
      <c r="P18" s="38"/>
      <c r="Q18" s="38"/>
      <c r="R18" s="43" t="str">
        <f aca="false">IF(OR(P18="",Q18=""),"",P18/(P18+Q18))</f>
        <v/>
      </c>
      <c r="S18" s="41" t="str">
        <f aca="false">IF(OR(K18="",G18=""),"",K18+N(L18))</f>
        <v/>
      </c>
      <c r="T18" s="41" t="str">
        <f aca="false">IF(OR(K18="",G18=""),"",S18*Settings!$B$10)</f>
        <v/>
      </c>
      <c r="U18" s="41" t="str">
        <f aca="false">IF(OR(K18="",G18=""),"",(S18+T18)*IF(N18="",Settings!$B$5,N18))</f>
        <v/>
      </c>
      <c r="V18" s="41" t="str">
        <f aca="false">IF(OR(K18="",G18=""),"",IF(S18+T18&lt;=Settings!$B$8,Settings!$B$6,Settings!$B$7))</f>
        <v/>
      </c>
      <c r="W18" s="41" t="str">
        <f aca="false">IF(OR(K18="",G18=""),"",S18*IF(UPPER(O18)="Y",Settings!$B$9,0))</f>
        <v/>
      </c>
      <c r="X18" s="41" t="str">
        <f aca="false">IF(OR(K18="",G18=""),"",(S18+T18)*IF(M18="",Settings!$B$11,M18))</f>
        <v/>
      </c>
      <c r="Y18" s="41" t="str">
        <f aca="false">IF(OR(K18="",G18=""),"",U18+V18+W18+X18)</f>
        <v/>
      </c>
      <c r="Z18" s="41" t="str">
        <f aca="false">IF(OR(K18="",G18=""),"",S18-Y18)</f>
        <v/>
      </c>
      <c r="AA18" s="41" t="str">
        <f aca="false">IF(OR(K18="",G18=""),"",Z18*Settings!$B$12)</f>
        <v/>
      </c>
      <c r="AB18" s="41" t="str">
        <f aca="false">IF(OR(K18="",G18=""),"",S18*Settings!$B$13)</f>
        <v/>
      </c>
      <c r="AC18" s="44" t="str">
        <f aca="false">IF(OR(K18="",G18=""),"",Z18-AA18-AB18-J18)</f>
        <v/>
      </c>
      <c r="AD18" s="45" t="str">
        <f aca="false">IF(OR(K18="",G18=""),"",AC18*Settings!$B$14)</f>
        <v/>
      </c>
      <c r="AE18" s="43" t="str">
        <f aca="false">IF(OR(K18="",G18=""),"",IF(S18=0,"",AC18/S18))</f>
        <v/>
      </c>
      <c r="AF18" s="43" t="str">
        <f aca="false">IF(OR(K18="",G18=""),"",IF(J18=0,"",AC18/J18))</f>
        <v/>
      </c>
      <c r="AG18" s="41" t="str">
        <f aca="false">IF(OR(K18="",G18=""),"",(J18+V18)/(1-(1+Settings!$B$10)*(IF(N18="",Settings!$B$5,N18)+IF(M18="",Settings!$B$11,M18))-IF(UPPER(O18)="Y",Settings!$B$9,0)-Settings!$B$13-Settings!$B$12)-N(L18))</f>
        <v/>
      </c>
      <c r="AH18" s="41" t="str">
        <f aca="false">IF(OR(K18="",G18=""),"",(J18+V18+Settings!$B$15)/(1-(1+Settings!$B$10)*(IF(N18="",Settings!$B$5,N18)+IF(M18="",Settings!$B$11,M18))-IF(UPPER(O18)="Y",Settings!$B$9,0)-Settings!$B$13-Settings!$B$12)-N(L18))</f>
        <v/>
      </c>
      <c r="AI18" s="46" t="str">
        <f aca="false">IF(C18="","",IF(OR(ISNUMBER(SEARCH("amazon",C18)),ISNUMBER(SEARCH("walmart",C18)),ISNUMBER(SEARCH("aliexpress",C18)),ISNUMBER(SEARCH("temu",C18))),"⚠ Retail source — not allowed","✓ Wholesale / own stock"))</f>
        <v/>
      </c>
      <c r="AJ18" s="47" t="str">
        <f aca="false">IF(OR(K18="",G18=""),"",IF(LEFT(AI18,1)="⚠","❌ SKIP",IF(AND(AC18&gt;=Settings!$B$15,AF18&gt;=Settings!$B$16,OR(R18="",N(R18)&gt;=Settings!$B$17)),"✅ GO",IF(AC18&gt;0,"⚠ CHECK","❌ SKIP"))))</f>
        <v/>
      </c>
      <c r="AK18" s="38"/>
    </row>
    <row r="19" customFormat="false" ht="15" hidden="false" customHeight="false" outlineLevel="0" collapsed="false">
      <c r="A19" s="37" t="str">
        <f aca="false">IF(B19="","",ROW()-4)</f>
        <v/>
      </c>
      <c r="B19" s="38"/>
      <c r="C19" s="39"/>
      <c r="D19" s="38"/>
      <c r="E19" s="38"/>
      <c r="F19" s="38"/>
      <c r="G19" s="40"/>
      <c r="H19" s="40"/>
      <c r="I19" s="40"/>
      <c r="J19" s="41" t="str">
        <f aca="false">IF(G19="","",G19+N(H19)+N(I19))</f>
        <v/>
      </c>
      <c r="K19" s="40"/>
      <c r="L19" s="40"/>
      <c r="M19" s="42"/>
      <c r="N19" s="42"/>
      <c r="O19" s="39"/>
      <c r="P19" s="38"/>
      <c r="Q19" s="38"/>
      <c r="R19" s="43" t="str">
        <f aca="false">IF(OR(P19="",Q19=""),"",P19/(P19+Q19))</f>
        <v/>
      </c>
      <c r="S19" s="41" t="str">
        <f aca="false">IF(OR(K19="",G19=""),"",K19+N(L19))</f>
        <v/>
      </c>
      <c r="T19" s="41" t="str">
        <f aca="false">IF(OR(K19="",G19=""),"",S19*Settings!$B$10)</f>
        <v/>
      </c>
      <c r="U19" s="41" t="str">
        <f aca="false">IF(OR(K19="",G19=""),"",(S19+T19)*IF(N19="",Settings!$B$5,N19))</f>
        <v/>
      </c>
      <c r="V19" s="41" t="str">
        <f aca="false">IF(OR(K19="",G19=""),"",IF(S19+T19&lt;=Settings!$B$8,Settings!$B$6,Settings!$B$7))</f>
        <v/>
      </c>
      <c r="W19" s="41" t="str">
        <f aca="false">IF(OR(K19="",G19=""),"",S19*IF(UPPER(O19)="Y",Settings!$B$9,0))</f>
        <v/>
      </c>
      <c r="X19" s="41" t="str">
        <f aca="false">IF(OR(K19="",G19=""),"",(S19+T19)*IF(M19="",Settings!$B$11,M19))</f>
        <v/>
      </c>
      <c r="Y19" s="41" t="str">
        <f aca="false">IF(OR(K19="",G19=""),"",U19+V19+W19+X19)</f>
        <v/>
      </c>
      <c r="Z19" s="41" t="str">
        <f aca="false">IF(OR(K19="",G19=""),"",S19-Y19)</f>
        <v/>
      </c>
      <c r="AA19" s="41" t="str">
        <f aca="false">IF(OR(K19="",G19=""),"",Z19*Settings!$B$12)</f>
        <v/>
      </c>
      <c r="AB19" s="41" t="str">
        <f aca="false">IF(OR(K19="",G19=""),"",S19*Settings!$B$13)</f>
        <v/>
      </c>
      <c r="AC19" s="44" t="str">
        <f aca="false">IF(OR(K19="",G19=""),"",Z19-AA19-AB19-J19)</f>
        <v/>
      </c>
      <c r="AD19" s="45" t="str">
        <f aca="false">IF(OR(K19="",G19=""),"",AC19*Settings!$B$14)</f>
        <v/>
      </c>
      <c r="AE19" s="43" t="str">
        <f aca="false">IF(OR(K19="",G19=""),"",IF(S19=0,"",AC19/S19))</f>
        <v/>
      </c>
      <c r="AF19" s="43" t="str">
        <f aca="false">IF(OR(K19="",G19=""),"",IF(J19=0,"",AC19/J19))</f>
        <v/>
      </c>
      <c r="AG19" s="41" t="str">
        <f aca="false">IF(OR(K19="",G19=""),"",(J19+V19)/(1-(1+Settings!$B$10)*(IF(N19="",Settings!$B$5,N19)+IF(M19="",Settings!$B$11,M19))-IF(UPPER(O19)="Y",Settings!$B$9,0)-Settings!$B$13-Settings!$B$12)-N(L19))</f>
        <v/>
      </c>
      <c r="AH19" s="41" t="str">
        <f aca="false">IF(OR(K19="",G19=""),"",(J19+V19+Settings!$B$15)/(1-(1+Settings!$B$10)*(IF(N19="",Settings!$B$5,N19)+IF(M19="",Settings!$B$11,M19))-IF(UPPER(O19)="Y",Settings!$B$9,0)-Settings!$B$13-Settings!$B$12)-N(L19))</f>
        <v/>
      </c>
      <c r="AI19" s="46" t="str">
        <f aca="false">IF(C19="","",IF(OR(ISNUMBER(SEARCH("amazon",C19)),ISNUMBER(SEARCH("walmart",C19)),ISNUMBER(SEARCH("aliexpress",C19)),ISNUMBER(SEARCH("temu",C19))),"⚠ Retail source — not allowed","✓ Wholesale / own stock"))</f>
        <v/>
      </c>
      <c r="AJ19" s="47" t="str">
        <f aca="false">IF(OR(K19="",G19=""),"",IF(LEFT(AI19,1)="⚠","❌ SKIP",IF(AND(AC19&gt;=Settings!$B$15,AF19&gt;=Settings!$B$16,OR(R19="",N(R19)&gt;=Settings!$B$17)),"✅ GO",IF(AC19&gt;0,"⚠ CHECK","❌ SKIP"))))</f>
        <v/>
      </c>
      <c r="AK19" s="38"/>
    </row>
    <row r="20" customFormat="false" ht="15" hidden="false" customHeight="false" outlineLevel="0" collapsed="false">
      <c r="A20" s="37" t="str">
        <f aca="false">IF(B20="","",ROW()-4)</f>
        <v/>
      </c>
      <c r="B20" s="38"/>
      <c r="C20" s="39"/>
      <c r="D20" s="38"/>
      <c r="E20" s="38"/>
      <c r="F20" s="38"/>
      <c r="G20" s="40"/>
      <c r="H20" s="40"/>
      <c r="I20" s="40"/>
      <c r="J20" s="41" t="str">
        <f aca="false">IF(G20="","",G20+N(H20)+N(I20))</f>
        <v/>
      </c>
      <c r="K20" s="40"/>
      <c r="L20" s="40"/>
      <c r="M20" s="42"/>
      <c r="N20" s="42"/>
      <c r="O20" s="39"/>
      <c r="P20" s="38"/>
      <c r="Q20" s="38"/>
      <c r="R20" s="43" t="str">
        <f aca="false">IF(OR(P20="",Q20=""),"",P20/(P20+Q20))</f>
        <v/>
      </c>
      <c r="S20" s="41" t="str">
        <f aca="false">IF(OR(K20="",G20=""),"",K20+N(L20))</f>
        <v/>
      </c>
      <c r="T20" s="41" t="str">
        <f aca="false">IF(OR(K20="",G20=""),"",S20*Settings!$B$10)</f>
        <v/>
      </c>
      <c r="U20" s="41" t="str">
        <f aca="false">IF(OR(K20="",G20=""),"",(S20+T20)*IF(N20="",Settings!$B$5,N20))</f>
        <v/>
      </c>
      <c r="V20" s="41" t="str">
        <f aca="false">IF(OR(K20="",G20=""),"",IF(S20+T20&lt;=Settings!$B$8,Settings!$B$6,Settings!$B$7))</f>
        <v/>
      </c>
      <c r="W20" s="41" t="str">
        <f aca="false">IF(OR(K20="",G20=""),"",S20*IF(UPPER(O20)="Y",Settings!$B$9,0))</f>
        <v/>
      </c>
      <c r="X20" s="41" t="str">
        <f aca="false">IF(OR(K20="",G20=""),"",(S20+T20)*IF(M20="",Settings!$B$11,M20))</f>
        <v/>
      </c>
      <c r="Y20" s="41" t="str">
        <f aca="false">IF(OR(K20="",G20=""),"",U20+V20+W20+X20)</f>
        <v/>
      </c>
      <c r="Z20" s="41" t="str">
        <f aca="false">IF(OR(K20="",G20=""),"",S20-Y20)</f>
        <v/>
      </c>
      <c r="AA20" s="41" t="str">
        <f aca="false">IF(OR(K20="",G20=""),"",Z20*Settings!$B$12)</f>
        <v/>
      </c>
      <c r="AB20" s="41" t="str">
        <f aca="false">IF(OR(K20="",G20=""),"",S20*Settings!$B$13)</f>
        <v/>
      </c>
      <c r="AC20" s="44" t="str">
        <f aca="false">IF(OR(K20="",G20=""),"",Z20-AA20-AB20-J20)</f>
        <v/>
      </c>
      <c r="AD20" s="45" t="str">
        <f aca="false">IF(OR(K20="",G20=""),"",AC20*Settings!$B$14)</f>
        <v/>
      </c>
      <c r="AE20" s="43" t="str">
        <f aca="false">IF(OR(K20="",G20=""),"",IF(S20=0,"",AC20/S20))</f>
        <v/>
      </c>
      <c r="AF20" s="43" t="str">
        <f aca="false">IF(OR(K20="",G20=""),"",IF(J20=0,"",AC20/J20))</f>
        <v/>
      </c>
      <c r="AG20" s="41" t="str">
        <f aca="false">IF(OR(K20="",G20=""),"",(J20+V20)/(1-(1+Settings!$B$10)*(IF(N20="",Settings!$B$5,N20)+IF(M20="",Settings!$B$11,M20))-IF(UPPER(O20)="Y",Settings!$B$9,0)-Settings!$B$13-Settings!$B$12)-N(L20))</f>
        <v/>
      </c>
      <c r="AH20" s="41" t="str">
        <f aca="false">IF(OR(K20="",G20=""),"",(J20+V20+Settings!$B$15)/(1-(1+Settings!$B$10)*(IF(N20="",Settings!$B$5,N20)+IF(M20="",Settings!$B$11,M20))-IF(UPPER(O20)="Y",Settings!$B$9,0)-Settings!$B$13-Settings!$B$12)-N(L20))</f>
        <v/>
      </c>
      <c r="AI20" s="46" t="str">
        <f aca="false">IF(C20="","",IF(OR(ISNUMBER(SEARCH("amazon",C20)),ISNUMBER(SEARCH("walmart",C20)),ISNUMBER(SEARCH("aliexpress",C20)),ISNUMBER(SEARCH("temu",C20))),"⚠ Retail source — not allowed","✓ Wholesale / own stock"))</f>
        <v/>
      </c>
      <c r="AJ20" s="47" t="str">
        <f aca="false">IF(OR(K20="",G20=""),"",IF(LEFT(AI20,1)="⚠","❌ SKIP",IF(AND(AC20&gt;=Settings!$B$15,AF20&gt;=Settings!$B$16,OR(R20="",N(R20)&gt;=Settings!$B$17)),"✅ GO",IF(AC20&gt;0,"⚠ CHECK","❌ SKIP"))))</f>
        <v/>
      </c>
      <c r="AK20" s="38"/>
    </row>
    <row r="21" customFormat="false" ht="15" hidden="false" customHeight="false" outlineLevel="0" collapsed="false">
      <c r="A21" s="37" t="str">
        <f aca="false">IF(B21="","",ROW()-4)</f>
        <v/>
      </c>
      <c r="B21" s="38"/>
      <c r="C21" s="39"/>
      <c r="D21" s="38"/>
      <c r="E21" s="38"/>
      <c r="F21" s="38"/>
      <c r="G21" s="40"/>
      <c r="H21" s="40"/>
      <c r="I21" s="40"/>
      <c r="J21" s="41" t="str">
        <f aca="false">IF(G21="","",G21+N(H21)+N(I21))</f>
        <v/>
      </c>
      <c r="K21" s="40"/>
      <c r="L21" s="40"/>
      <c r="M21" s="42"/>
      <c r="N21" s="42"/>
      <c r="O21" s="39"/>
      <c r="P21" s="38"/>
      <c r="Q21" s="38"/>
      <c r="R21" s="43" t="str">
        <f aca="false">IF(OR(P21="",Q21=""),"",P21/(P21+Q21))</f>
        <v/>
      </c>
      <c r="S21" s="41" t="str">
        <f aca="false">IF(OR(K21="",G21=""),"",K21+N(L21))</f>
        <v/>
      </c>
      <c r="T21" s="41" t="str">
        <f aca="false">IF(OR(K21="",G21=""),"",S21*Settings!$B$10)</f>
        <v/>
      </c>
      <c r="U21" s="41" t="str">
        <f aca="false">IF(OR(K21="",G21=""),"",(S21+T21)*IF(N21="",Settings!$B$5,N21))</f>
        <v/>
      </c>
      <c r="V21" s="41" t="str">
        <f aca="false">IF(OR(K21="",G21=""),"",IF(S21+T21&lt;=Settings!$B$8,Settings!$B$6,Settings!$B$7))</f>
        <v/>
      </c>
      <c r="W21" s="41" t="str">
        <f aca="false">IF(OR(K21="",G21=""),"",S21*IF(UPPER(O21)="Y",Settings!$B$9,0))</f>
        <v/>
      </c>
      <c r="X21" s="41" t="str">
        <f aca="false">IF(OR(K21="",G21=""),"",(S21+T21)*IF(M21="",Settings!$B$11,M21))</f>
        <v/>
      </c>
      <c r="Y21" s="41" t="str">
        <f aca="false">IF(OR(K21="",G21=""),"",U21+V21+W21+X21)</f>
        <v/>
      </c>
      <c r="Z21" s="41" t="str">
        <f aca="false">IF(OR(K21="",G21=""),"",S21-Y21)</f>
        <v/>
      </c>
      <c r="AA21" s="41" t="str">
        <f aca="false">IF(OR(K21="",G21=""),"",Z21*Settings!$B$12)</f>
        <v/>
      </c>
      <c r="AB21" s="41" t="str">
        <f aca="false">IF(OR(K21="",G21=""),"",S21*Settings!$B$13)</f>
        <v/>
      </c>
      <c r="AC21" s="44" t="str">
        <f aca="false">IF(OR(K21="",G21=""),"",Z21-AA21-AB21-J21)</f>
        <v/>
      </c>
      <c r="AD21" s="45" t="str">
        <f aca="false">IF(OR(K21="",G21=""),"",AC21*Settings!$B$14)</f>
        <v/>
      </c>
      <c r="AE21" s="43" t="str">
        <f aca="false">IF(OR(K21="",G21=""),"",IF(S21=0,"",AC21/S21))</f>
        <v/>
      </c>
      <c r="AF21" s="43" t="str">
        <f aca="false">IF(OR(K21="",G21=""),"",IF(J21=0,"",AC21/J21))</f>
        <v/>
      </c>
      <c r="AG21" s="41" t="str">
        <f aca="false">IF(OR(K21="",G21=""),"",(J21+V21)/(1-(1+Settings!$B$10)*(IF(N21="",Settings!$B$5,N21)+IF(M21="",Settings!$B$11,M21))-IF(UPPER(O21)="Y",Settings!$B$9,0)-Settings!$B$13-Settings!$B$12)-N(L21))</f>
        <v/>
      </c>
      <c r="AH21" s="41" t="str">
        <f aca="false">IF(OR(K21="",G21=""),"",(J21+V21+Settings!$B$15)/(1-(1+Settings!$B$10)*(IF(N21="",Settings!$B$5,N21)+IF(M21="",Settings!$B$11,M21))-IF(UPPER(O21)="Y",Settings!$B$9,0)-Settings!$B$13-Settings!$B$12)-N(L21))</f>
        <v/>
      </c>
      <c r="AI21" s="46" t="str">
        <f aca="false">IF(C21="","",IF(OR(ISNUMBER(SEARCH("amazon",C21)),ISNUMBER(SEARCH("walmart",C21)),ISNUMBER(SEARCH("aliexpress",C21)),ISNUMBER(SEARCH("temu",C21))),"⚠ Retail source — not allowed","✓ Wholesale / own stock"))</f>
        <v/>
      </c>
      <c r="AJ21" s="47" t="str">
        <f aca="false">IF(OR(K21="",G21=""),"",IF(LEFT(AI21,1)="⚠","❌ SKIP",IF(AND(AC21&gt;=Settings!$B$15,AF21&gt;=Settings!$B$16,OR(R21="",N(R21)&gt;=Settings!$B$17)),"✅ GO",IF(AC21&gt;0,"⚠ CHECK","❌ SKIP"))))</f>
        <v/>
      </c>
      <c r="AK21" s="38"/>
    </row>
    <row r="22" customFormat="false" ht="15" hidden="false" customHeight="false" outlineLevel="0" collapsed="false">
      <c r="A22" s="37" t="str">
        <f aca="false">IF(B22="","",ROW()-4)</f>
        <v/>
      </c>
      <c r="B22" s="38"/>
      <c r="C22" s="39"/>
      <c r="D22" s="38"/>
      <c r="E22" s="38"/>
      <c r="F22" s="38"/>
      <c r="G22" s="40"/>
      <c r="H22" s="40"/>
      <c r="I22" s="40"/>
      <c r="J22" s="41" t="str">
        <f aca="false">IF(G22="","",G22+N(H22)+N(I22))</f>
        <v/>
      </c>
      <c r="K22" s="40"/>
      <c r="L22" s="40"/>
      <c r="M22" s="42"/>
      <c r="N22" s="42"/>
      <c r="O22" s="39"/>
      <c r="P22" s="38"/>
      <c r="Q22" s="38"/>
      <c r="R22" s="43" t="str">
        <f aca="false">IF(OR(P22="",Q22=""),"",P22/(P22+Q22))</f>
        <v/>
      </c>
      <c r="S22" s="41" t="str">
        <f aca="false">IF(OR(K22="",G22=""),"",K22+N(L22))</f>
        <v/>
      </c>
      <c r="T22" s="41" t="str">
        <f aca="false">IF(OR(K22="",G22=""),"",S22*Settings!$B$10)</f>
        <v/>
      </c>
      <c r="U22" s="41" t="str">
        <f aca="false">IF(OR(K22="",G22=""),"",(S22+T22)*IF(N22="",Settings!$B$5,N22))</f>
        <v/>
      </c>
      <c r="V22" s="41" t="str">
        <f aca="false">IF(OR(K22="",G22=""),"",IF(S22+T22&lt;=Settings!$B$8,Settings!$B$6,Settings!$B$7))</f>
        <v/>
      </c>
      <c r="W22" s="41" t="str">
        <f aca="false">IF(OR(K22="",G22=""),"",S22*IF(UPPER(O22)="Y",Settings!$B$9,0))</f>
        <v/>
      </c>
      <c r="X22" s="41" t="str">
        <f aca="false">IF(OR(K22="",G22=""),"",(S22+T22)*IF(M22="",Settings!$B$11,M22))</f>
        <v/>
      </c>
      <c r="Y22" s="41" t="str">
        <f aca="false">IF(OR(K22="",G22=""),"",U22+V22+W22+X22)</f>
        <v/>
      </c>
      <c r="Z22" s="41" t="str">
        <f aca="false">IF(OR(K22="",G22=""),"",S22-Y22)</f>
        <v/>
      </c>
      <c r="AA22" s="41" t="str">
        <f aca="false">IF(OR(K22="",G22=""),"",Z22*Settings!$B$12)</f>
        <v/>
      </c>
      <c r="AB22" s="41" t="str">
        <f aca="false">IF(OR(K22="",G22=""),"",S22*Settings!$B$13)</f>
        <v/>
      </c>
      <c r="AC22" s="44" t="str">
        <f aca="false">IF(OR(K22="",G22=""),"",Z22-AA22-AB22-J22)</f>
        <v/>
      </c>
      <c r="AD22" s="45" t="str">
        <f aca="false">IF(OR(K22="",G22=""),"",AC22*Settings!$B$14)</f>
        <v/>
      </c>
      <c r="AE22" s="43" t="str">
        <f aca="false">IF(OR(K22="",G22=""),"",IF(S22=0,"",AC22/S22))</f>
        <v/>
      </c>
      <c r="AF22" s="43" t="str">
        <f aca="false">IF(OR(K22="",G22=""),"",IF(J22=0,"",AC22/J22))</f>
        <v/>
      </c>
      <c r="AG22" s="41" t="str">
        <f aca="false">IF(OR(K22="",G22=""),"",(J22+V22)/(1-(1+Settings!$B$10)*(IF(N22="",Settings!$B$5,N22)+IF(M22="",Settings!$B$11,M22))-IF(UPPER(O22)="Y",Settings!$B$9,0)-Settings!$B$13-Settings!$B$12)-N(L22))</f>
        <v/>
      </c>
      <c r="AH22" s="41" t="str">
        <f aca="false">IF(OR(K22="",G22=""),"",(J22+V22+Settings!$B$15)/(1-(1+Settings!$B$10)*(IF(N22="",Settings!$B$5,N22)+IF(M22="",Settings!$B$11,M22))-IF(UPPER(O22)="Y",Settings!$B$9,0)-Settings!$B$13-Settings!$B$12)-N(L22))</f>
        <v/>
      </c>
      <c r="AI22" s="46" t="str">
        <f aca="false">IF(C22="","",IF(OR(ISNUMBER(SEARCH("amazon",C22)),ISNUMBER(SEARCH("walmart",C22)),ISNUMBER(SEARCH("aliexpress",C22)),ISNUMBER(SEARCH("temu",C22))),"⚠ Retail source — not allowed","✓ Wholesale / own stock"))</f>
        <v/>
      </c>
      <c r="AJ22" s="47" t="str">
        <f aca="false">IF(OR(K22="",G22=""),"",IF(LEFT(AI22,1)="⚠","❌ SKIP",IF(AND(AC22&gt;=Settings!$B$15,AF22&gt;=Settings!$B$16,OR(R22="",N(R22)&gt;=Settings!$B$17)),"✅ GO",IF(AC22&gt;0,"⚠ CHECK","❌ SKIP"))))</f>
        <v/>
      </c>
      <c r="AK22" s="38"/>
    </row>
    <row r="23" customFormat="false" ht="15" hidden="false" customHeight="false" outlineLevel="0" collapsed="false">
      <c r="A23" s="37" t="str">
        <f aca="false">IF(B23="","",ROW()-4)</f>
        <v/>
      </c>
      <c r="B23" s="38"/>
      <c r="C23" s="39"/>
      <c r="D23" s="38"/>
      <c r="E23" s="38"/>
      <c r="F23" s="38"/>
      <c r="G23" s="40"/>
      <c r="H23" s="40"/>
      <c r="I23" s="40"/>
      <c r="J23" s="41" t="str">
        <f aca="false">IF(G23="","",G23+N(H23)+N(I23))</f>
        <v/>
      </c>
      <c r="K23" s="40"/>
      <c r="L23" s="40"/>
      <c r="M23" s="42"/>
      <c r="N23" s="42"/>
      <c r="O23" s="39"/>
      <c r="P23" s="38"/>
      <c r="Q23" s="38"/>
      <c r="R23" s="43" t="str">
        <f aca="false">IF(OR(P23="",Q23=""),"",P23/(P23+Q23))</f>
        <v/>
      </c>
      <c r="S23" s="41" t="str">
        <f aca="false">IF(OR(K23="",G23=""),"",K23+N(L23))</f>
        <v/>
      </c>
      <c r="T23" s="41" t="str">
        <f aca="false">IF(OR(K23="",G23=""),"",S23*Settings!$B$10)</f>
        <v/>
      </c>
      <c r="U23" s="41" t="str">
        <f aca="false">IF(OR(K23="",G23=""),"",(S23+T23)*IF(N23="",Settings!$B$5,N23))</f>
        <v/>
      </c>
      <c r="V23" s="41" t="str">
        <f aca="false">IF(OR(K23="",G23=""),"",IF(S23+T23&lt;=Settings!$B$8,Settings!$B$6,Settings!$B$7))</f>
        <v/>
      </c>
      <c r="W23" s="41" t="str">
        <f aca="false">IF(OR(K23="",G23=""),"",S23*IF(UPPER(O23)="Y",Settings!$B$9,0))</f>
        <v/>
      </c>
      <c r="X23" s="41" t="str">
        <f aca="false">IF(OR(K23="",G23=""),"",(S23+T23)*IF(M23="",Settings!$B$11,M23))</f>
        <v/>
      </c>
      <c r="Y23" s="41" t="str">
        <f aca="false">IF(OR(K23="",G23=""),"",U23+V23+W23+X23)</f>
        <v/>
      </c>
      <c r="Z23" s="41" t="str">
        <f aca="false">IF(OR(K23="",G23=""),"",S23-Y23)</f>
        <v/>
      </c>
      <c r="AA23" s="41" t="str">
        <f aca="false">IF(OR(K23="",G23=""),"",Z23*Settings!$B$12)</f>
        <v/>
      </c>
      <c r="AB23" s="41" t="str">
        <f aca="false">IF(OR(K23="",G23=""),"",S23*Settings!$B$13)</f>
        <v/>
      </c>
      <c r="AC23" s="44" t="str">
        <f aca="false">IF(OR(K23="",G23=""),"",Z23-AA23-AB23-J23)</f>
        <v/>
      </c>
      <c r="AD23" s="45" t="str">
        <f aca="false">IF(OR(K23="",G23=""),"",AC23*Settings!$B$14)</f>
        <v/>
      </c>
      <c r="AE23" s="43" t="str">
        <f aca="false">IF(OR(K23="",G23=""),"",IF(S23=0,"",AC23/S23))</f>
        <v/>
      </c>
      <c r="AF23" s="43" t="str">
        <f aca="false">IF(OR(K23="",G23=""),"",IF(J23=0,"",AC23/J23))</f>
        <v/>
      </c>
      <c r="AG23" s="41" t="str">
        <f aca="false">IF(OR(K23="",G23=""),"",(J23+V23)/(1-(1+Settings!$B$10)*(IF(N23="",Settings!$B$5,N23)+IF(M23="",Settings!$B$11,M23))-IF(UPPER(O23)="Y",Settings!$B$9,0)-Settings!$B$13-Settings!$B$12)-N(L23))</f>
        <v/>
      </c>
      <c r="AH23" s="41" t="str">
        <f aca="false">IF(OR(K23="",G23=""),"",(J23+V23+Settings!$B$15)/(1-(1+Settings!$B$10)*(IF(N23="",Settings!$B$5,N23)+IF(M23="",Settings!$B$11,M23))-IF(UPPER(O23)="Y",Settings!$B$9,0)-Settings!$B$13-Settings!$B$12)-N(L23))</f>
        <v/>
      </c>
      <c r="AI23" s="46" t="str">
        <f aca="false">IF(C23="","",IF(OR(ISNUMBER(SEARCH("amazon",C23)),ISNUMBER(SEARCH("walmart",C23)),ISNUMBER(SEARCH("aliexpress",C23)),ISNUMBER(SEARCH("temu",C23))),"⚠ Retail source — not allowed","✓ Wholesale / own stock"))</f>
        <v/>
      </c>
      <c r="AJ23" s="47" t="str">
        <f aca="false">IF(OR(K23="",G23=""),"",IF(LEFT(AI23,1)="⚠","❌ SKIP",IF(AND(AC23&gt;=Settings!$B$15,AF23&gt;=Settings!$B$16,OR(R23="",N(R23)&gt;=Settings!$B$17)),"✅ GO",IF(AC23&gt;0,"⚠ CHECK","❌ SKIP"))))</f>
        <v/>
      </c>
      <c r="AK23" s="38"/>
    </row>
    <row r="24" customFormat="false" ht="15" hidden="false" customHeight="false" outlineLevel="0" collapsed="false">
      <c r="A24" s="37" t="str">
        <f aca="false">IF(B24="","",ROW()-4)</f>
        <v/>
      </c>
      <c r="B24" s="38"/>
      <c r="C24" s="39"/>
      <c r="D24" s="38"/>
      <c r="E24" s="38"/>
      <c r="F24" s="38"/>
      <c r="G24" s="40"/>
      <c r="H24" s="40"/>
      <c r="I24" s="40"/>
      <c r="J24" s="41" t="str">
        <f aca="false">IF(G24="","",G24+N(H24)+N(I24))</f>
        <v/>
      </c>
      <c r="K24" s="40"/>
      <c r="L24" s="40"/>
      <c r="M24" s="42"/>
      <c r="N24" s="42"/>
      <c r="O24" s="39"/>
      <c r="P24" s="38"/>
      <c r="Q24" s="38"/>
      <c r="R24" s="43" t="str">
        <f aca="false">IF(OR(P24="",Q24=""),"",P24/(P24+Q24))</f>
        <v/>
      </c>
      <c r="S24" s="41" t="str">
        <f aca="false">IF(OR(K24="",G24=""),"",K24+N(L24))</f>
        <v/>
      </c>
      <c r="T24" s="41" t="str">
        <f aca="false">IF(OR(K24="",G24=""),"",S24*Settings!$B$10)</f>
        <v/>
      </c>
      <c r="U24" s="41" t="str">
        <f aca="false">IF(OR(K24="",G24=""),"",(S24+T24)*IF(N24="",Settings!$B$5,N24))</f>
        <v/>
      </c>
      <c r="V24" s="41" t="str">
        <f aca="false">IF(OR(K24="",G24=""),"",IF(S24+T24&lt;=Settings!$B$8,Settings!$B$6,Settings!$B$7))</f>
        <v/>
      </c>
      <c r="W24" s="41" t="str">
        <f aca="false">IF(OR(K24="",G24=""),"",S24*IF(UPPER(O24)="Y",Settings!$B$9,0))</f>
        <v/>
      </c>
      <c r="X24" s="41" t="str">
        <f aca="false">IF(OR(K24="",G24=""),"",(S24+T24)*IF(M24="",Settings!$B$11,M24))</f>
        <v/>
      </c>
      <c r="Y24" s="41" t="str">
        <f aca="false">IF(OR(K24="",G24=""),"",U24+V24+W24+X24)</f>
        <v/>
      </c>
      <c r="Z24" s="41" t="str">
        <f aca="false">IF(OR(K24="",G24=""),"",S24-Y24)</f>
        <v/>
      </c>
      <c r="AA24" s="41" t="str">
        <f aca="false">IF(OR(K24="",G24=""),"",Z24*Settings!$B$12)</f>
        <v/>
      </c>
      <c r="AB24" s="41" t="str">
        <f aca="false">IF(OR(K24="",G24=""),"",S24*Settings!$B$13)</f>
        <v/>
      </c>
      <c r="AC24" s="44" t="str">
        <f aca="false">IF(OR(K24="",G24=""),"",Z24-AA24-AB24-J24)</f>
        <v/>
      </c>
      <c r="AD24" s="45" t="str">
        <f aca="false">IF(OR(K24="",G24=""),"",AC24*Settings!$B$14)</f>
        <v/>
      </c>
      <c r="AE24" s="43" t="str">
        <f aca="false">IF(OR(K24="",G24=""),"",IF(S24=0,"",AC24/S24))</f>
        <v/>
      </c>
      <c r="AF24" s="43" t="str">
        <f aca="false">IF(OR(K24="",G24=""),"",IF(J24=0,"",AC24/J24))</f>
        <v/>
      </c>
      <c r="AG24" s="41" t="str">
        <f aca="false">IF(OR(K24="",G24=""),"",(J24+V24)/(1-(1+Settings!$B$10)*(IF(N24="",Settings!$B$5,N24)+IF(M24="",Settings!$B$11,M24))-IF(UPPER(O24)="Y",Settings!$B$9,0)-Settings!$B$13-Settings!$B$12)-N(L24))</f>
        <v/>
      </c>
      <c r="AH24" s="41" t="str">
        <f aca="false">IF(OR(K24="",G24=""),"",(J24+V24+Settings!$B$15)/(1-(1+Settings!$B$10)*(IF(N24="",Settings!$B$5,N24)+IF(M24="",Settings!$B$11,M24))-IF(UPPER(O24)="Y",Settings!$B$9,0)-Settings!$B$13-Settings!$B$12)-N(L24))</f>
        <v/>
      </c>
      <c r="AI24" s="46" t="str">
        <f aca="false">IF(C24="","",IF(OR(ISNUMBER(SEARCH("amazon",C24)),ISNUMBER(SEARCH("walmart",C24)),ISNUMBER(SEARCH("aliexpress",C24)),ISNUMBER(SEARCH("temu",C24))),"⚠ Retail source — not allowed","✓ Wholesale / own stock"))</f>
        <v/>
      </c>
      <c r="AJ24" s="47" t="str">
        <f aca="false">IF(OR(K24="",G24=""),"",IF(LEFT(AI24,1)="⚠","❌ SKIP",IF(AND(AC24&gt;=Settings!$B$15,AF24&gt;=Settings!$B$16,OR(R24="",N(R24)&gt;=Settings!$B$17)),"✅ GO",IF(AC24&gt;0,"⚠ CHECK","❌ SKIP"))))</f>
        <v/>
      </c>
      <c r="AK24" s="38"/>
    </row>
    <row r="25" customFormat="false" ht="15" hidden="false" customHeight="false" outlineLevel="0" collapsed="false">
      <c r="A25" s="37" t="str">
        <f aca="false">IF(B25="","",ROW()-4)</f>
        <v/>
      </c>
      <c r="B25" s="38"/>
      <c r="C25" s="39"/>
      <c r="D25" s="38"/>
      <c r="E25" s="38"/>
      <c r="F25" s="38"/>
      <c r="G25" s="40"/>
      <c r="H25" s="40"/>
      <c r="I25" s="40"/>
      <c r="J25" s="41" t="str">
        <f aca="false">IF(G25="","",G25+N(H25)+N(I25))</f>
        <v/>
      </c>
      <c r="K25" s="40"/>
      <c r="L25" s="40"/>
      <c r="M25" s="42"/>
      <c r="N25" s="42"/>
      <c r="O25" s="39"/>
      <c r="P25" s="38"/>
      <c r="Q25" s="38"/>
      <c r="R25" s="43" t="str">
        <f aca="false">IF(OR(P25="",Q25=""),"",P25/(P25+Q25))</f>
        <v/>
      </c>
      <c r="S25" s="41" t="str">
        <f aca="false">IF(OR(K25="",G25=""),"",K25+N(L25))</f>
        <v/>
      </c>
      <c r="T25" s="41" t="str">
        <f aca="false">IF(OR(K25="",G25=""),"",S25*Settings!$B$10)</f>
        <v/>
      </c>
      <c r="U25" s="41" t="str">
        <f aca="false">IF(OR(K25="",G25=""),"",(S25+T25)*IF(N25="",Settings!$B$5,N25))</f>
        <v/>
      </c>
      <c r="V25" s="41" t="str">
        <f aca="false">IF(OR(K25="",G25=""),"",IF(S25+T25&lt;=Settings!$B$8,Settings!$B$6,Settings!$B$7))</f>
        <v/>
      </c>
      <c r="W25" s="41" t="str">
        <f aca="false">IF(OR(K25="",G25=""),"",S25*IF(UPPER(O25)="Y",Settings!$B$9,0))</f>
        <v/>
      </c>
      <c r="X25" s="41" t="str">
        <f aca="false">IF(OR(K25="",G25=""),"",(S25+T25)*IF(M25="",Settings!$B$11,M25))</f>
        <v/>
      </c>
      <c r="Y25" s="41" t="str">
        <f aca="false">IF(OR(K25="",G25=""),"",U25+V25+W25+X25)</f>
        <v/>
      </c>
      <c r="Z25" s="41" t="str">
        <f aca="false">IF(OR(K25="",G25=""),"",S25-Y25)</f>
        <v/>
      </c>
      <c r="AA25" s="41" t="str">
        <f aca="false">IF(OR(K25="",G25=""),"",Z25*Settings!$B$12)</f>
        <v/>
      </c>
      <c r="AB25" s="41" t="str">
        <f aca="false">IF(OR(K25="",G25=""),"",S25*Settings!$B$13)</f>
        <v/>
      </c>
      <c r="AC25" s="44" t="str">
        <f aca="false">IF(OR(K25="",G25=""),"",Z25-AA25-AB25-J25)</f>
        <v/>
      </c>
      <c r="AD25" s="45" t="str">
        <f aca="false">IF(OR(K25="",G25=""),"",AC25*Settings!$B$14)</f>
        <v/>
      </c>
      <c r="AE25" s="43" t="str">
        <f aca="false">IF(OR(K25="",G25=""),"",IF(S25=0,"",AC25/S25))</f>
        <v/>
      </c>
      <c r="AF25" s="43" t="str">
        <f aca="false">IF(OR(K25="",G25=""),"",IF(J25=0,"",AC25/J25))</f>
        <v/>
      </c>
      <c r="AG25" s="41" t="str">
        <f aca="false">IF(OR(K25="",G25=""),"",(J25+V25)/(1-(1+Settings!$B$10)*(IF(N25="",Settings!$B$5,N25)+IF(M25="",Settings!$B$11,M25))-IF(UPPER(O25)="Y",Settings!$B$9,0)-Settings!$B$13-Settings!$B$12)-N(L25))</f>
        <v/>
      </c>
      <c r="AH25" s="41" t="str">
        <f aca="false">IF(OR(K25="",G25=""),"",(J25+V25+Settings!$B$15)/(1-(1+Settings!$B$10)*(IF(N25="",Settings!$B$5,N25)+IF(M25="",Settings!$B$11,M25))-IF(UPPER(O25)="Y",Settings!$B$9,0)-Settings!$B$13-Settings!$B$12)-N(L25))</f>
        <v/>
      </c>
      <c r="AI25" s="46" t="str">
        <f aca="false">IF(C25="","",IF(OR(ISNUMBER(SEARCH("amazon",C25)),ISNUMBER(SEARCH("walmart",C25)),ISNUMBER(SEARCH("aliexpress",C25)),ISNUMBER(SEARCH("temu",C25))),"⚠ Retail source — not allowed","✓ Wholesale / own stock"))</f>
        <v/>
      </c>
      <c r="AJ25" s="47" t="str">
        <f aca="false">IF(OR(K25="",G25=""),"",IF(LEFT(AI25,1)="⚠","❌ SKIP",IF(AND(AC25&gt;=Settings!$B$15,AF25&gt;=Settings!$B$16,OR(R25="",N(R25)&gt;=Settings!$B$17)),"✅ GO",IF(AC25&gt;0,"⚠ CHECK","❌ SKIP"))))</f>
        <v/>
      </c>
      <c r="AK25" s="38"/>
    </row>
    <row r="26" customFormat="false" ht="15" hidden="false" customHeight="false" outlineLevel="0" collapsed="false">
      <c r="A26" s="37" t="str">
        <f aca="false">IF(B26="","",ROW()-4)</f>
        <v/>
      </c>
      <c r="B26" s="38"/>
      <c r="C26" s="39"/>
      <c r="D26" s="38"/>
      <c r="E26" s="38"/>
      <c r="F26" s="38"/>
      <c r="G26" s="40"/>
      <c r="H26" s="40"/>
      <c r="I26" s="40"/>
      <c r="J26" s="41" t="str">
        <f aca="false">IF(G26="","",G26+N(H26)+N(I26))</f>
        <v/>
      </c>
      <c r="K26" s="40"/>
      <c r="L26" s="40"/>
      <c r="M26" s="42"/>
      <c r="N26" s="42"/>
      <c r="O26" s="39"/>
      <c r="P26" s="38"/>
      <c r="Q26" s="38"/>
      <c r="R26" s="43" t="str">
        <f aca="false">IF(OR(P26="",Q26=""),"",P26/(P26+Q26))</f>
        <v/>
      </c>
      <c r="S26" s="41" t="str">
        <f aca="false">IF(OR(K26="",G26=""),"",K26+N(L26))</f>
        <v/>
      </c>
      <c r="T26" s="41" t="str">
        <f aca="false">IF(OR(K26="",G26=""),"",S26*Settings!$B$10)</f>
        <v/>
      </c>
      <c r="U26" s="41" t="str">
        <f aca="false">IF(OR(K26="",G26=""),"",(S26+T26)*IF(N26="",Settings!$B$5,N26))</f>
        <v/>
      </c>
      <c r="V26" s="41" t="str">
        <f aca="false">IF(OR(K26="",G26=""),"",IF(S26+T26&lt;=Settings!$B$8,Settings!$B$6,Settings!$B$7))</f>
        <v/>
      </c>
      <c r="W26" s="41" t="str">
        <f aca="false">IF(OR(K26="",G26=""),"",S26*IF(UPPER(O26)="Y",Settings!$B$9,0))</f>
        <v/>
      </c>
      <c r="X26" s="41" t="str">
        <f aca="false">IF(OR(K26="",G26=""),"",(S26+T26)*IF(M26="",Settings!$B$11,M26))</f>
        <v/>
      </c>
      <c r="Y26" s="41" t="str">
        <f aca="false">IF(OR(K26="",G26=""),"",U26+V26+W26+X26)</f>
        <v/>
      </c>
      <c r="Z26" s="41" t="str">
        <f aca="false">IF(OR(K26="",G26=""),"",S26-Y26)</f>
        <v/>
      </c>
      <c r="AA26" s="41" t="str">
        <f aca="false">IF(OR(K26="",G26=""),"",Z26*Settings!$B$12)</f>
        <v/>
      </c>
      <c r="AB26" s="41" t="str">
        <f aca="false">IF(OR(K26="",G26=""),"",S26*Settings!$B$13)</f>
        <v/>
      </c>
      <c r="AC26" s="44" t="str">
        <f aca="false">IF(OR(K26="",G26=""),"",Z26-AA26-AB26-J26)</f>
        <v/>
      </c>
      <c r="AD26" s="45" t="str">
        <f aca="false">IF(OR(K26="",G26=""),"",AC26*Settings!$B$14)</f>
        <v/>
      </c>
      <c r="AE26" s="43" t="str">
        <f aca="false">IF(OR(K26="",G26=""),"",IF(S26=0,"",AC26/S26))</f>
        <v/>
      </c>
      <c r="AF26" s="43" t="str">
        <f aca="false">IF(OR(K26="",G26=""),"",IF(J26=0,"",AC26/J26))</f>
        <v/>
      </c>
      <c r="AG26" s="41" t="str">
        <f aca="false">IF(OR(K26="",G26=""),"",(J26+V26)/(1-(1+Settings!$B$10)*(IF(N26="",Settings!$B$5,N26)+IF(M26="",Settings!$B$11,M26))-IF(UPPER(O26)="Y",Settings!$B$9,0)-Settings!$B$13-Settings!$B$12)-N(L26))</f>
        <v/>
      </c>
      <c r="AH26" s="41" t="str">
        <f aca="false">IF(OR(K26="",G26=""),"",(J26+V26+Settings!$B$15)/(1-(1+Settings!$B$10)*(IF(N26="",Settings!$B$5,N26)+IF(M26="",Settings!$B$11,M26))-IF(UPPER(O26)="Y",Settings!$B$9,0)-Settings!$B$13-Settings!$B$12)-N(L26))</f>
        <v/>
      </c>
      <c r="AI26" s="46" t="str">
        <f aca="false">IF(C26="","",IF(OR(ISNUMBER(SEARCH("amazon",C26)),ISNUMBER(SEARCH("walmart",C26)),ISNUMBER(SEARCH("aliexpress",C26)),ISNUMBER(SEARCH("temu",C26))),"⚠ Retail source — not allowed","✓ Wholesale / own stock"))</f>
        <v/>
      </c>
      <c r="AJ26" s="47" t="str">
        <f aca="false">IF(OR(K26="",G26=""),"",IF(LEFT(AI26,1)="⚠","❌ SKIP",IF(AND(AC26&gt;=Settings!$B$15,AF26&gt;=Settings!$B$16,OR(R26="",N(R26)&gt;=Settings!$B$17)),"✅ GO",IF(AC26&gt;0,"⚠ CHECK","❌ SKIP"))))</f>
        <v/>
      </c>
      <c r="AK26" s="38"/>
    </row>
    <row r="27" customFormat="false" ht="15" hidden="false" customHeight="false" outlineLevel="0" collapsed="false">
      <c r="A27" s="37" t="str">
        <f aca="false">IF(B27="","",ROW()-4)</f>
        <v/>
      </c>
      <c r="B27" s="38"/>
      <c r="C27" s="39"/>
      <c r="D27" s="38"/>
      <c r="E27" s="38"/>
      <c r="F27" s="38"/>
      <c r="G27" s="40"/>
      <c r="H27" s="40"/>
      <c r="I27" s="40"/>
      <c r="J27" s="41" t="str">
        <f aca="false">IF(G27="","",G27+N(H27)+N(I27))</f>
        <v/>
      </c>
      <c r="K27" s="40"/>
      <c r="L27" s="40"/>
      <c r="M27" s="42"/>
      <c r="N27" s="42"/>
      <c r="O27" s="39"/>
      <c r="P27" s="38"/>
      <c r="Q27" s="38"/>
      <c r="R27" s="43" t="str">
        <f aca="false">IF(OR(P27="",Q27=""),"",P27/(P27+Q27))</f>
        <v/>
      </c>
      <c r="S27" s="41" t="str">
        <f aca="false">IF(OR(K27="",G27=""),"",K27+N(L27))</f>
        <v/>
      </c>
      <c r="T27" s="41" t="str">
        <f aca="false">IF(OR(K27="",G27=""),"",S27*Settings!$B$10)</f>
        <v/>
      </c>
      <c r="U27" s="41" t="str">
        <f aca="false">IF(OR(K27="",G27=""),"",(S27+T27)*IF(N27="",Settings!$B$5,N27))</f>
        <v/>
      </c>
      <c r="V27" s="41" t="str">
        <f aca="false">IF(OR(K27="",G27=""),"",IF(S27+T27&lt;=Settings!$B$8,Settings!$B$6,Settings!$B$7))</f>
        <v/>
      </c>
      <c r="W27" s="41" t="str">
        <f aca="false">IF(OR(K27="",G27=""),"",S27*IF(UPPER(O27)="Y",Settings!$B$9,0))</f>
        <v/>
      </c>
      <c r="X27" s="41" t="str">
        <f aca="false">IF(OR(K27="",G27=""),"",(S27+T27)*IF(M27="",Settings!$B$11,M27))</f>
        <v/>
      </c>
      <c r="Y27" s="41" t="str">
        <f aca="false">IF(OR(K27="",G27=""),"",U27+V27+W27+X27)</f>
        <v/>
      </c>
      <c r="Z27" s="41" t="str">
        <f aca="false">IF(OR(K27="",G27=""),"",S27-Y27)</f>
        <v/>
      </c>
      <c r="AA27" s="41" t="str">
        <f aca="false">IF(OR(K27="",G27=""),"",Z27*Settings!$B$12)</f>
        <v/>
      </c>
      <c r="AB27" s="41" t="str">
        <f aca="false">IF(OR(K27="",G27=""),"",S27*Settings!$B$13)</f>
        <v/>
      </c>
      <c r="AC27" s="44" t="str">
        <f aca="false">IF(OR(K27="",G27=""),"",Z27-AA27-AB27-J27)</f>
        <v/>
      </c>
      <c r="AD27" s="45" t="str">
        <f aca="false">IF(OR(K27="",G27=""),"",AC27*Settings!$B$14)</f>
        <v/>
      </c>
      <c r="AE27" s="43" t="str">
        <f aca="false">IF(OR(K27="",G27=""),"",IF(S27=0,"",AC27/S27))</f>
        <v/>
      </c>
      <c r="AF27" s="43" t="str">
        <f aca="false">IF(OR(K27="",G27=""),"",IF(J27=0,"",AC27/J27))</f>
        <v/>
      </c>
      <c r="AG27" s="41" t="str">
        <f aca="false">IF(OR(K27="",G27=""),"",(J27+V27)/(1-(1+Settings!$B$10)*(IF(N27="",Settings!$B$5,N27)+IF(M27="",Settings!$B$11,M27))-IF(UPPER(O27)="Y",Settings!$B$9,0)-Settings!$B$13-Settings!$B$12)-N(L27))</f>
        <v/>
      </c>
      <c r="AH27" s="41" t="str">
        <f aca="false">IF(OR(K27="",G27=""),"",(J27+V27+Settings!$B$15)/(1-(1+Settings!$B$10)*(IF(N27="",Settings!$B$5,N27)+IF(M27="",Settings!$B$11,M27))-IF(UPPER(O27)="Y",Settings!$B$9,0)-Settings!$B$13-Settings!$B$12)-N(L27))</f>
        <v/>
      </c>
      <c r="AI27" s="46" t="str">
        <f aca="false">IF(C27="","",IF(OR(ISNUMBER(SEARCH("amazon",C27)),ISNUMBER(SEARCH("walmart",C27)),ISNUMBER(SEARCH("aliexpress",C27)),ISNUMBER(SEARCH("temu",C27))),"⚠ Retail source — not allowed","✓ Wholesale / own stock"))</f>
        <v/>
      </c>
      <c r="AJ27" s="47" t="str">
        <f aca="false">IF(OR(K27="",G27=""),"",IF(LEFT(AI27,1)="⚠","❌ SKIP",IF(AND(AC27&gt;=Settings!$B$15,AF27&gt;=Settings!$B$16,OR(R27="",N(R27)&gt;=Settings!$B$17)),"✅ GO",IF(AC27&gt;0,"⚠ CHECK","❌ SKIP"))))</f>
        <v/>
      </c>
      <c r="AK27" s="38"/>
    </row>
    <row r="28" customFormat="false" ht="15" hidden="false" customHeight="false" outlineLevel="0" collapsed="false">
      <c r="A28" s="37" t="str">
        <f aca="false">IF(B28="","",ROW()-4)</f>
        <v/>
      </c>
      <c r="B28" s="38"/>
      <c r="C28" s="39"/>
      <c r="D28" s="38"/>
      <c r="E28" s="38"/>
      <c r="F28" s="38"/>
      <c r="G28" s="40"/>
      <c r="H28" s="40"/>
      <c r="I28" s="40"/>
      <c r="J28" s="41" t="str">
        <f aca="false">IF(G28="","",G28+N(H28)+N(I28))</f>
        <v/>
      </c>
      <c r="K28" s="40"/>
      <c r="L28" s="40"/>
      <c r="M28" s="42"/>
      <c r="N28" s="42"/>
      <c r="O28" s="39"/>
      <c r="P28" s="38"/>
      <c r="Q28" s="38"/>
      <c r="R28" s="43" t="str">
        <f aca="false">IF(OR(P28="",Q28=""),"",P28/(P28+Q28))</f>
        <v/>
      </c>
      <c r="S28" s="41" t="str">
        <f aca="false">IF(OR(K28="",G28=""),"",K28+N(L28))</f>
        <v/>
      </c>
      <c r="T28" s="41" t="str">
        <f aca="false">IF(OR(K28="",G28=""),"",S28*Settings!$B$10)</f>
        <v/>
      </c>
      <c r="U28" s="41" t="str">
        <f aca="false">IF(OR(K28="",G28=""),"",(S28+T28)*IF(N28="",Settings!$B$5,N28))</f>
        <v/>
      </c>
      <c r="V28" s="41" t="str">
        <f aca="false">IF(OR(K28="",G28=""),"",IF(S28+T28&lt;=Settings!$B$8,Settings!$B$6,Settings!$B$7))</f>
        <v/>
      </c>
      <c r="W28" s="41" t="str">
        <f aca="false">IF(OR(K28="",G28=""),"",S28*IF(UPPER(O28)="Y",Settings!$B$9,0))</f>
        <v/>
      </c>
      <c r="X28" s="41" t="str">
        <f aca="false">IF(OR(K28="",G28=""),"",(S28+T28)*IF(M28="",Settings!$B$11,M28))</f>
        <v/>
      </c>
      <c r="Y28" s="41" t="str">
        <f aca="false">IF(OR(K28="",G28=""),"",U28+V28+W28+X28)</f>
        <v/>
      </c>
      <c r="Z28" s="41" t="str">
        <f aca="false">IF(OR(K28="",G28=""),"",S28-Y28)</f>
        <v/>
      </c>
      <c r="AA28" s="41" t="str">
        <f aca="false">IF(OR(K28="",G28=""),"",Z28*Settings!$B$12)</f>
        <v/>
      </c>
      <c r="AB28" s="41" t="str">
        <f aca="false">IF(OR(K28="",G28=""),"",S28*Settings!$B$13)</f>
        <v/>
      </c>
      <c r="AC28" s="44" t="str">
        <f aca="false">IF(OR(K28="",G28=""),"",Z28-AA28-AB28-J28)</f>
        <v/>
      </c>
      <c r="AD28" s="45" t="str">
        <f aca="false">IF(OR(K28="",G28=""),"",AC28*Settings!$B$14)</f>
        <v/>
      </c>
      <c r="AE28" s="43" t="str">
        <f aca="false">IF(OR(K28="",G28=""),"",IF(S28=0,"",AC28/S28))</f>
        <v/>
      </c>
      <c r="AF28" s="43" t="str">
        <f aca="false">IF(OR(K28="",G28=""),"",IF(J28=0,"",AC28/J28))</f>
        <v/>
      </c>
      <c r="AG28" s="41" t="str">
        <f aca="false">IF(OR(K28="",G28=""),"",(J28+V28)/(1-(1+Settings!$B$10)*(IF(N28="",Settings!$B$5,N28)+IF(M28="",Settings!$B$11,M28))-IF(UPPER(O28)="Y",Settings!$B$9,0)-Settings!$B$13-Settings!$B$12)-N(L28))</f>
        <v/>
      </c>
      <c r="AH28" s="41" t="str">
        <f aca="false">IF(OR(K28="",G28=""),"",(J28+V28+Settings!$B$15)/(1-(1+Settings!$B$10)*(IF(N28="",Settings!$B$5,N28)+IF(M28="",Settings!$B$11,M28))-IF(UPPER(O28)="Y",Settings!$B$9,0)-Settings!$B$13-Settings!$B$12)-N(L28))</f>
        <v/>
      </c>
      <c r="AI28" s="46" t="str">
        <f aca="false">IF(C28="","",IF(OR(ISNUMBER(SEARCH("amazon",C28)),ISNUMBER(SEARCH("walmart",C28)),ISNUMBER(SEARCH("aliexpress",C28)),ISNUMBER(SEARCH("temu",C28))),"⚠ Retail source — not allowed","✓ Wholesale / own stock"))</f>
        <v/>
      </c>
      <c r="AJ28" s="47" t="str">
        <f aca="false">IF(OR(K28="",G28=""),"",IF(LEFT(AI28,1)="⚠","❌ SKIP",IF(AND(AC28&gt;=Settings!$B$15,AF28&gt;=Settings!$B$16,OR(R28="",N(R28)&gt;=Settings!$B$17)),"✅ GO",IF(AC28&gt;0,"⚠ CHECK","❌ SKIP"))))</f>
        <v/>
      </c>
      <c r="AK28" s="38"/>
    </row>
    <row r="29" customFormat="false" ht="15" hidden="false" customHeight="false" outlineLevel="0" collapsed="false">
      <c r="A29" s="37" t="str">
        <f aca="false">IF(B29="","",ROW()-4)</f>
        <v/>
      </c>
      <c r="B29" s="38"/>
      <c r="C29" s="39"/>
      <c r="D29" s="38"/>
      <c r="E29" s="38"/>
      <c r="F29" s="38"/>
      <c r="G29" s="40"/>
      <c r="H29" s="40"/>
      <c r="I29" s="40"/>
      <c r="J29" s="41" t="str">
        <f aca="false">IF(G29="","",G29+N(H29)+N(I29))</f>
        <v/>
      </c>
      <c r="K29" s="40"/>
      <c r="L29" s="40"/>
      <c r="M29" s="42"/>
      <c r="N29" s="42"/>
      <c r="O29" s="39"/>
      <c r="P29" s="38"/>
      <c r="Q29" s="38"/>
      <c r="R29" s="43" t="str">
        <f aca="false">IF(OR(P29="",Q29=""),"",P29/(P29+Q29))</f>
        <v/>
      </c>
      <c r="S29" s="41" t="str">
        <f aca="false">IF(OR(K29="",G29=""),"",K29+N(L29))</f>
        <v/>
      </c>
      <c r="T29" s="41" t="str">
        <f aca="false">IF(OR(K29="",G29=""),"",S29*Settings!$B$10)</f>
        <v/>
      </c>
      <c r="U29" s="41" t="str">
        <f aca="false">IF(OR(K29="",G29=""),"",(S29+T29)*IF(N29="",Settings!$B$5,N29))</f>
        <v/>
      </c>
      <c r="V29" s="41" t="str">
        <f aca="false">IF(OR(K29="",G29=""),"",IF(S29+T29&lt;=Settings!$B$8,Settings!$B$6,Settings!$B$7))</f>
        <v/>
      </c>
      <c r="W29" s="41" t="str">
        <f aca="false">IF(OR(K29="",G29=""),"",S29*IF(UPPER(O29)="Y",Settings!$B$9,0))</f>
        <v/>
      </c>
      <c r="X29" s="41" t="str">
        <f aca="false">IF(OR(K29="",G29=""),"",(S29+T29)*IF(M29="",Settings!$B$11,M29))</f>
        <v/>
      </c>
      <c r="Y29" s="41" t="str">
        <f aca="false">IF(OR(K29="",G29=""),"",U29+V29+W29+X29)</f>
        <v/>
      </c>
      <c r="Z29" s="41" t="str">
        <f aca="false">IF(OR(K29="",G29=""),"",S29-Y29)</f>
        <v/>
      </c>
      <c r="AA29" s="41" t="str">
        <f aca="false">IF(OR(K29="",G29=""),"",Z29*Settings!$B$12)</f>
        <v/>
      </c>
      <c r="AB29" s="41" t="str">
        <f aca="false">IF(OR(K29="",G29=""),"",S29*Settings!$B$13)</f>
        <v/>
      </c>
      <c r="AC29" s="44" t="str">
        <f aca="false">IF(OR(K29="",G29=""),"",Z29-AA29-AB29-J29)</f>
        <v/>
      </c>
      <c r="AD29" s="45" t="str">
        <f aca="false">IF(OR(K29="",G29=""),"",AC29*Settings!$B$14)</f>
        <v/>
      </c>
      <c r="AE29" s="43" t="str">
        <f aca="false">IF(OR(K29="",G29=""),"",IF(S29=0,"",AC29/S29))</f>
        <v/>
      </c>
      <c r="AF29" s="43" t="str">
        <f aca="false">IF(OR(K29="",G29=""),"",IF(J29=0,"",AC29/J29))</f>
        <v/>
      </c>
      <c r="AG29" s="41" t="str">
        <f aca="false">IF(OR(K29="",G29=""),"",(J29+V29)/(1-(1+Settings!$B$10)*(IF(N29="",Settings!$B$5,N29)+IF(M29="",Settings!$B$11,M29))-IF(UPPER(O29)="Y",Settings!$B$9,0)-Settings!$B$13-Settings!$B$12)-N(L29))</f>
        <v/>
      </c>
      <c r="AH29" s="41" t="str">
        <f aca="false">IF(OR(K29="",G29=""),"",(J29+V29+Settings!$B$15)/(1-(1+Settings!$B$10)*(IF(N29="",Settings!$B$5,N29)+IF(M29="",Settings!$B$11,M29))-IF(UPPER(O29)="Y",Settings!$B$9,0)-Settings!$B$13-Settings!$B$12)-N(L29))</f>
        <v/>
      </c>
      <c r="AI29" s="46" t="str">
        <f aca="false">IF(C29="","",IF(OR(ISNUMBER(SEARCH("amazon",C29)),ISNUMBER(SEARCH("walmart",C29)),ISNUMBER(SEARCH("aliexpress",C29)),ISNUMBER(SEARCH("temu",C29))),"⚠ Retail source — not allowed","✓ Wholesale / own stock"))</f>
        <v/>
      </c>
      <c r="AJ29" s="47" t="str">
        <f aca="false">IF(OR(K29="",G29=""),"",IF(LEFT(AI29,1)="⚠","❌ SKIP",IF(AND(AC29&gt;=Settings!$B$15,AF29&gt;=Settings!$B$16,OR(R29="",N(R29)&gt;=Settings!$B$17)),"✅ GO",IF(AC29&gt;0,"⚠ CHECK","❌ SKIP"))))</f>
        <v/>
      </c>
      <c r="AK29" s="38"/>
    </row>
    <row r="30" customFormat="false" ht="15" hidden="false" customHeight="false" outlineLevel="0" collapsed="false">
      <c r="A30" s="37" t="str">
        <f aca="false">IF(B30="","",ROW()-4)</f>
        <v/>
      </c>
      <c r="B30" s="38"/>
      <c r="C30" s="39"/>
      <c r="D30" s="38"/>
      <c r="E30" s="38"/>
      <c r="F30" s="38"/>
      <c r="G30" s="40"/>
      <c r="H30" s="40"/>
      <c r="I30" s="40"/>
      <c r="J30" s="41" t="str">
        <f aca="false">IF(G30="","",G30+N(H30)+N(I30))</f>
        <v/>
      </c>
      <c r="K30" s="40"/>
      <c r="L30" s="40"/>
      <c r="M30" s="42"/>
      <c r="N30" s="42"/>
      <c r="O30" s="39"/>
      <c r="P30" s="38"/>
      <c r="Q30" s="38"/>
      <c r="R30" s="43" t="str">
        <f aca="false">IF(OR(P30="",Q30=""),"",P30/(P30+Q30))</f>
        <v/>
      </c>
      <c r="S30" s="41" t="str">
        <f aca="false">IF(OR(K30="",G30=""),"",K30+N(L30))</f>
        <v/>
      </c>
      <c r="T30" s="41" t="str">
        <f aca="false">IF(OR(K30="",G30=""),"",S30*Settings!$B$10)</f>
        <v/>
      </c>
      <c r="U30" s="41" t="str">
        <f aca="false">IF(OR(K30="",G30=""),"",(S30+T30)*IF(N30="",Settings!$B$5,N30))</f>
        <v/>
      </c>
      <c r="V30" s="41" t="str">
        <f aca="false">IF(OR(K30="",G30=""),"",IF(S30+T30&lt;=Settings!$B$8,Settings!$B$6,Settings!$B$7))</f>
        <v/>
      </c>
      <c r="W30" s="41" t="str">
        <f aca="false">IF(OR(K30="",G30=""),"",S30*IF(UPPER(O30)="Y",Settings!$B$9,0))</f>
        <v/>
      </c>
      <c r="X30" s="41" t="str">
        <f aca="false">IF(OR(K30="",G30=""),"",(S30+T30)*IF(M30="",Settings!$B$11,M30))</f>
        <v/>
      </c>
      <c r="Y30" s="41" t="str">
        <f aca="false">IF(OR(K30="",G30=""),"",U30+V30+W30+X30)</f>
        <v/>
      </c>
      <c r="Z30" s="41" t="str">
        <f aca="false">IF(OR(K30="",G30=""),"",S30-Y30)</f>
        <v/>
      </c>
      <c r="AA30" s="41" t="str">
        <f aca="false">IF(OR(K30="",G30=""),"",Z30*Settings!$B$12)</f>
        <v/>
      </c>
      <c r="AB30" s="41" t="str">
        <f aca="false">IF(OR(K30="",G30=""),"",S30*Settings!$B$13)</f>
        <v/>
      </c>
      <c r="AC30" s="44" t="str">
        <f aca="false">IF(OR(K30="",G30=""),"",Z30-AA30-AB30-J30)</f>
        <v/>
      </c>
      <c r="AD30" s="45" t="str">
        <f aca="false">IF(OR(K30="",G30=""),"",AC30*Settings!$B$14)</f>
        <v/>
      </c>
      <c r="AE30" s="43" t="str">
        <f aca="false">IF(OR(K30="",G30=""),"",IF(S30=0,"",AC30/S30))</f>
        <v/>
      </c>
      <c r="AF30" s="43" t="str">
        <f aca="false">IF(OR(K30="",G30=""),"",IF(J30=0,"",AC30/J30))</f>
        <v/>
      </c>
      <c r="AG30" s="41" t="str">
        <f aca="false">IF(OR(K30="",G30=""),"",(J30+V30)/(1-(1+Settings!$B$10)*(IF(N30="",Settings!$B$5,N30)+IF(M30="",Settings!$B$11,M30))-IF(UPPER(O30)="Y",Settings!$B$9,0)-Settings!$B$13-Settings!$B$12)-N(L30))</f>
        <v/>
      </c>
      <c r="AH30" s="41" t="str">
        <f aca="false">IF(OR(K30="",G30=""),"",(J30+V30+Settings!$B$15)/(1-(1+Settings!$B$10)*(IF(N30="",Settings!$B$5,N30)+IF(M30="",Settings!$B$11,M30))-IF(UPPER(O30)="Y",Settings!$B$9,0)-Settings!$B$13-Settings!$B$12)-N(L30))</f>
        <v/>
      </c>
      <c r="AI30" s="46" t="str">
        <f aca="false">IF(C30="","",IF(OR(ISNUMBER(SEARCH("amazon",C30)),ISNUMBER(SEARCH("walmart",C30)),ISNUMBER(SEARCH("aliexpress",C30)),ISNUMBER(SEARCH("temu",C30))),"⚠ Retail source — not allowed","✓ Wholesale / own stock"))</f>
        <v/>
      </c>
      <c r="AJ30" s="47" t="str">
        <f aca="false">IF(OR(K30="",G30=""),"",IF(LEFT(AI30,1)="⚠","❌ SKIP",IF(AND(AC30&gt;=Settings!$B$15,AF30&gt;=Settings!$B$16,OR(R30="",N(R30)&gt;=Settings!$B$17)),"✅ GO",IF(AC30&gt;0,"⚠ CHECK","❌ SKIP"))))</f>
        <v/>
      </c>
      <c r="AK30" s="38"/>
    </row>
    <row r="31" customFormat="false" ht="15" hidden="false" customHeight="false" outlineLevel="0" collapsed="false">
      <c r="A31" s="37" t="str">
        <f aca="false">IF(B31="","",ROW()-4)</f>
        <v/>
      </c>
      <c r="B31" s="38"/>
      <c r="C31" s="39"/>
      <c r="D31" s="38"/>
      <c r="E31" s="38"/>
      <c r="F31" s="38"/>
      <c r="G31" s="40"/>
      <c r="H31" s="40"/>
      <c r="I31" s="40"/>
      <c r="J31" s="41" t="str">
        <f aca="false">IF(G31="","",G31+N(H31)+N(I31))</f>
        <v/>
      </c>
      <c r="K31" s="40"/>
      <c r="L31" s="40"/>
      <c r="M31" s="42"/>
      <c r="N31" s="42"/>
      <c r="O31" s="39"/>
      <c r="P31" s="38"/>
      <c r="Q31" s="38"/>
      <c r="R31" s="43" t="str">
        <f aca="false">IF(OR(P31="",Q31=""),"",P31/(P31+Q31))</f>
        <v/>
      </c>
      <c r="S31" s="41" t="str">
        <f aca="false">IF(OR(K31="",G31=""),"",K31+N(L31))</f>
        <v/>
      </c>
      <c r="T31" s="41" t="str">
        <f aca="false">IF(OR(K31="",G31=""),"",S31*Settings!$B$10)</f>
        <v/>
      </c>
      <c r="U31" s="41" t="str">
        <f aca="false">IF(OR(K31="",G31=""),"",(S31+T31)*IF(N31="",Settings!$B$5,N31))</f>
        <v/>
      </c>
      <c r="V31" s="41" t="str">
        <f aca="false">IF(OR(K31="",G31=""),"",IF(S31+T31&lt;=Settings!$B$8,Settings!$B$6,Settings!$B$7))</f>
        <v/>
      </c>
      <c r="W31" s="41" t="str">
        <f aca="false">IF(OR(K31="",G31=""),"",S31*IF(UPPER(O31)="Y",Settings!$B$9,0))</f>
        <v/>
      </c>
      <c r="X31" s="41" t="str">
        <f aca="false">IF(OR(K31="",G31=""),"",(S31+T31)*IF(M31="",Settings!$B$11,M31))</f>
        <v/>
      </c>
      <c r="Y31" s="41" t="str">
        <f aca="false">IF(OR(K31="",G31=""),"",U31+V31+W31+X31)</f>
        <v/>
      </c>
      <c r="Z31" s="41" t="str">
        <f aca="false">IF(OR(K31="",G31=""),"",S31-Y31)</f>
        <v/>
      </c>
      <c r="AA31" s="41" t="str">
        <f aca="false">IF(OR(K31="",G31=""),"",Z31*Settings!$B$12)</f>
        <v/>
      </c>
      <c r="AB31" s="41" t="str">
        <f aca="false">IF(OR(K31="",G31=""),"",S31*Settings!$B$13)</f>
        <v/>
      </c>
      <c r="AC31" s="44" t="str">
        <f aca="false">IF(OR(K31="",G31=""),"",Z31-AA31-AB31-J31)</f>
        <v/>
      </c>
      <c r="AD31" s="45" t="str">
        <f aca="false">IF(OR(K31="",G31=""),"",AC31*Settings!$B$14)</f>
        <v/>
      </c>
      <c r="AE31" s="43" t="str">
        <f aca="false">IF(OR(K31="",G31=""),"",IF(S31=0,"",AC31/S31))</f>
        <v/>
      </c>
      <c r="AF31" s="43" t="str">
        <f aca="false">IF(OR(K31="",G31=""),"",IF(J31=0,"",AC31/J31))</f>
        <v/>
      </c>
      <c r="AG31" s="41" t="str">
        <f aca="false">IF(OR(K31="",G31=""),"",(J31+V31)/(1-(1+Settings!$B$10)*(IF(N31="",Settings!$B$5,N31)+IF(M31="",Settings!$B$11,M31))-IF(UPPER(O31)="Y",Settings!$B$9,0)-Settings!$B$13-Settings!$B$12)-N(L31))</f>
        <v/>
      </c>
      <c r="AH31" s="41" t="str">
        <f aca="false">IF(OR(K31="",G31=""),"",(J31+V31+Settings!$B$15)/(1-(1+Settings!$B$10)*(IF(N31="",Settings!$B$5,N31)+IF(M31="",Settings!$B$11,M31))-IF(UPPER(O31)="Y",Settings!$B$9,0)-Settings!$B$13-Settings!$B$12)-N(L31))</f>
        <v/>
      </c>
      <c r="AI31" s="46" t="str">
        <f aca="false">IF(C31="","",IF(OR(ISNUMBER(SEARCH("amazon",C31)),ISNUMBER(SEARCH("walmart",C31)),ISNUMBER(SEARCH("aliexpress",C31)),ISNUMBER(SEARCH("temu",C31))),"⚠ Retail source — not allowed","✓ Wholesale / own stock"))</f>
        <v/>
      </c>
      <c r="AJ31" s="47" t="str">
        <f aca="false">IF(OR(K31="",G31=""),"",IF(LEFT(AI31,1)="⚠","❌ SKIP",IF(AND(AC31&gt;=Settings!$B$15,AF31&gt;=Settings!$B$16,OR(R31="",N(R31)&gt;=Settings!$B$17)),"✅ GO",IF(AC31&gt;0,"⚠ CHECK","❌ SKIP"))))</f>
        <v/>
      </c>
      <c r="AK31" s="38"/>
    </row>
    <row r="32" customFormat="false" ht="15" hidden="false" customHeight="false" outlineLevel="0" collapsed="false">
      <c r="A32" s="37" t="str">
        <f aca="false">IF(B32="","",ROW()-4)</f>
        <v/>
      </c>
      <c r="B32" s="38"/>
      <c r="C32" s="39"/>
      <c r="D32" s="38"/>
      <c r="E32" s="38"/>
      <c r="F32" s="38"/>
      <c r="G32" s="40"/>
      <c r="H32" s="40"/>
      <c r="I32" s="40"/>
      <c r="J32" s="41" t="str">
        <f aca="false">IF(G32="","",G32+N(H32)+N(I32))</f>
        <v/>
      </c>
      <c r="K32" s="40"/>
      <c r="L32" s="40"/>
      <c r="M32" s="42"/>
      <c r="N32" s="42"/>
      <c r="O32" s="39"/>
      <c r="P32" s="38"/>
      <c r="Q32" s="38"/>
      <c r="R32" s="43" t="str">
        <f aca="false">IF(OR(P32="",Q32=""),"",P32/(P32+Q32))</f>
        <v/>
      </c>
      <c r="S32" s="41" t="str">
        <f aca="false">IF(OR(K32="",G32=""),"",K32+N(L32))</f>
        <v/>
      </c>
      <c r="T32" s="41" t="str">
        <f aca="false">IF(OR(K32="",G32=""),"",S32*Settings!$B$10)</f>
        <v/>
      </c>
      <c r="U32" s="41" t="str">
        <f aca="false">IF(OR(K32="",G32=""),"",(S32+T32)*IF(N32="",Settings!$B$5,N32))</f>
        <v/>
      </c>
      <c r="V32" s="41" t="str">
        <f aca="false">IF(OR(K32="",G32=""),"",IF(S32+T32&lt;=Settings!$B$8,Settings!$B$6,Settings!$B$7))</f>
        <v/>
      </c>
      <c r="W32" s="41" t="str">
        <f aca="false">IF(OR(K32="",G32=""),"",S32*IF(UPPER(O32)="Y",Settings!$B$9,0))</f>
        <v/>
      </c>
      <c r="X32" s="41" t="str">
        <f aca="false">IF(OR(K32="",G32=""),"",(S32+T32)*IF(M32="",Settings!$B$11,M32))</f>
        <v/>
      </c>
      <c r="Y32" s="41" t="str">
        <f aca="false">IF(OR(K32="",G32=""),"",U32+V32+W32+X32)</f>
        <v/>
      </c>
      <c r="Z32" s="41" t="str">
        <f aca="false">IF(OR(K32="",G32=""),"",S32-Y32)</f>
        <v/>
      </c>
      <c r="AA32" s="41" t="str">
        <f aca="false">IF(OR(K32="",G32=""),"",Z32*Settings!$B$12)</f>
        <v/>
      </c>
      <c r="AB32" s="41" t="str">
        <f aca="false">IF(OR(K32="",G32=""),"",S32*Settings!$B$13)</f>
        <v/>
      </c>
      <c r="AC32" s="44" t="str">
        <f aca="false">IF(OR(K32="",G32=""),"",Z32-AA32-AB32-J32)</f>
        <v/>
      </c>
      <c r="AD32" s="45" t="str">
        <f aca="false">IF(OR(K32="",G32=""),"",AC32*Settings!$B$14)</f>
        <v/>
      </c>
      <c r="AE32" s="43" t="str">
        <f aca="false">IF(OR(K32="",G32=""),"",IF(S32=0,"",AC32/S32))</f>
        <v/>
      </c>
      <c r="AF32" s="43" t="str">
        <f aca="false">IF(OR(K32="",G32=""),"",IF(J32=0,"",AC32/J32))</f>
        <v/>
      </c>
      <c r="AG32" s="41" t="str">
        <f aca="false">IF(OR(K32="",G32=""),"",(J32+V32)/(1-(1+Settings!$B$10)*(IF(N32="",Settings!$B$5,N32)+IF(M32="",Settings!$B$11,M32))-IF(UPPER(O32)="Y",Settings!$B$9,0)-Settings!$B$13-Settings!$B$12)-N(L32))</f>
        <v/>
      </c>
      <c r="AH32" s="41" t="str">
        <f aca="false">IF(OR(K32="",G32=""),"",(J32+V32+Settings!$B$15)/(1-(1+Settings!$B$10)*(IF(N32="",Settings!$B$5,N32)+IF(M32="",Settings!$B$11,M32))-IF(UPPER(O32)="Y",Settings!$B$9,0)-Settings!$B$13-Settings!$B$12)-N(L32))</f>
        <v/>
      </c>
      <c r="AI32" s="46" t="str">
        <f aca="false">IF(C32="","",IF(OR(ISNUMBER(SEARCH("amazon",C32)),ISNUMBER(SEARCH("walmart",C32)),ISNUMBER(SEARCH("aliexpress",C32)),ISNUMBER(SEARCH("temu",C32))),"⚠ Retail source — not allowed","✓ Wholesale / own stock"))</f>
        <v/>
      </c>
      <c r="AJ32" s="47" t="str">
        <f aca="false">IF(OR(K32="",G32=""),"",IF(LEFT(AI32,1)="⚠","❌ SKIP",IF(AND(AC32&gt;=Settings!$B$15,AF32&gt;=Settings!$B$16,OR(R32="",N(R32)&gt;=Settings!$B$17)),"✅ GO",IF(AC32&gt;0,"⚠ CHECK","❌ SKIP"))))</f>
        <v/>
      </c>
      <c r="AK32" s="38"/>
    </row>
    <row r="33" customFormat="false" ht="15" hidden="false" customHeight="false" outlineLevel="0" collapsed="false">
      <c r="A33" s="37" t="str">
        <f aca="false">IF(B33="","",ROW()-4)</f>
        <v/>
      </c>
      <c r="B33" s="38"/>
      <c r="C33" s="39"/>
      <c r="D33" s="38"/>
      <c r="E33" s="38"/>
      <c r="F33" s="38"/>
      <c r="G33" s="40"/>
      <c r="H33" s="40"/>
      <c r="I33" s="40"/>
      <c r="J33" s="41" t="str">
        <f aca="false">IF(G33="","",G33+N(H33)+N(I33))</f>
        <v/>
      </c>
      <c r="K33" s="40"/>
      <c r="L33" s="40"/>
      <c r="M33" s="42"/>
      <c r="N33" s="42"/>
      <c r="O33" s="39"/>
      <c r="P33" s="38"/>
      <c r="Q33" s="38"/>
      <c r="R33" s="43" t="str">
        <f aca="false">IF(OR(P33="",Q33=""),"",P33/(P33+Q33))</f>
        <v/>
      </c>
      <c r="S33" s="41" t="str">
        <f aca="false">IF(OR(K33="",G33=""),"",K33+N(L33))</f>
        <v/>
      </c>
      <c r="T33" s="41" t="str">
        <f aca="false">IF(OR(K33="",G33=""),"",S33*Settings!$B$10)</f>
        <v/>
      </c>
      <c r="U33" s="41" t="str">
        <f aca="false">IF(OR(K33="",G33=""),"",(S33+T33)*IF(N33="",Settings!$B$5,N33))</f>
        <v/>
      </c>
      <c r="V33" s="41" t="str">
        <f aca="false">IF(OR(K33="",G33=""),"",IF(S33+T33&lt;=Settings!$B$8,Settings!$B$6,Settings!$B$7))</f>
        <v/>
      </c>
      <c r="W33" s="41" t="str">
        <f aca="false">IF(OR(K33="",G33=""),"",S33*IF(UPPER(O33)="Y",Settings!$B$9,0))</f>
        <v/>
      </c>
      <c r="X33" s="41" t="str">
        <f aca="false">IF(OR(K33="",G33=""),"",(S33+T33)*IF(M33="",Settings!$B$11,M33))</f>
        <v/>
      </c>
      <c r="Y33" s="41" t="str">
        <f aca="false">IF(OR(K33="",G33=""),"",U33+V33+W33+X33)</f>
        <v/>
      </c>
      <c r="Z33" s="41" t="str">
        <f aca="false">IF(OR(K33="",G33=""),"",S33-Y33)</f>
        <v/>
      </c>
      <c r="AA33" s="41" t="str">
        <f aca="false">IF(OR(K33="",G33=""),"",Z33*Settings!$B$12)</f>
        <v/>
      </c>
      <c r="AB33" s="41" t="str">
        <f aca="false">IF(OR(K33="",G33=""),"",S33*Settings!$B$13)</f>
        <v/>
      </c>
      <c r="AC33" s="44" t="str">
        <f aca="false">IF(OR(K33="",G33=""),"",Z33-AA33-AB33-J33)</f>
        <v/>
      </c>
      <c r="AD33" s="45" t="str">
        <f aca="false">IF(OR(K33="",G33=""),"",AC33*Settings!$B$14)</f>
        <v/>
      </c>
      <c r="AE33" s="43" t="str">
        <f aca="false">IF(OR(K33="",G33=""),"",IF(S33=0,"",AC33/S33))</f>
        <v/>
      </c>
      <c r="AF33" s="43" t="str">
        <f aca="false">IF(OR(K33="",G33=""),"",IF(J33=0,"",AC33/J33))</f>
        <v/>
      </c>
      <c r="AG33" s="41" t="str">
        <f aca="false">IF(OR(K33="",G33=""),"",(J33+V33)/(1-(1+Settings!$B$10)*(IF(N33="",Settings!$B$5,N33)+IF(M33="",Settings!$B$11,M33))-IF(UPPER(O33)="Y",Settings!$B$9,0)-Settings!$B$13-Settings!$B$12)-N(L33))</f>
        <v/>
      </c>
      <c r="AH33" s="41" t="str">
        <f aca="false">IF(OR(K33="",G33=""),"",(J33+V33+Settings!$B$15)/(1-(1+Settings!$B$10)*(IF(N33="",Settings!$B$5,N33)+IF(M33="",Settings!$B$11,M33))-IF(UPPER(O33)="Y",Settings!$B$9,0)-Settings!$B$13-Settings!$B$12)-N(L33))</f>
        <v/>
      </c>
      <c r="AI33" s="46" t="str">
        <f aca="false">IF(C33="","",IF(OR(ISNUMBER(SEARCH("amazon",C33)),ISNUMBER(SEARCH("walmart",C33)),ISNUMBER(SEARCH("aliexpress",C33)),ISNUMBER(SEARCH("temu",C33))),"⚠ Retail source — not allowed","✓ Wholesale / own stock"))</f>
        <v/>
      </c>
      <c r="AJ33" s="47" t="str">
        <f aca="false">IF(OR(K33="",G33=""),"",IF(LEFT(AI33,1)="⚠","❌ SKIP",IF(AND(AC33&gt;=Settings!$B$15,AF33&gt;=Settings!$B$16,OR(R33="",N(R33)&gt;=Settings!$B$17)),"✅ GO",IF(AC33&gt;0,"⚠ CHECK","❌ SKIP"))))</f>
        <v/>
      </c>
      <c r="AK33" s="38"/>
    </row>
    <row r="34" customFormat="false" ht="15" hidden="false" customHeight="false" outlineLevel="0" collapsed="false">
      <c r="A34" s="37" t="str">
        <f aca="false">IF(B34="","",ROW()-4)</f>
        <v/>
      </c>
      <c r="B34" s="38"/>
      <c r="C34" s="39"/>
      <c r="D34" s="38"/>
      <c r="E34" s="38"/>
      <c r="F34" s="38"/>
      <c r="G34" s="40"/>
      <c r="H34" s="40"/>
      <c r="I34" s="40"/>
      <c r="J34" s="41" t="str">
        <f aca="false">IF(G34="","",G34+N(H34)+N(I34))</f>
        <v/>
      </c>
      <c r="K34" s="40"/>
      <c r="L34" s="40"/>
      <c r="M34" s="42"/>
      <c r="N34" s="42"/>
      <c r="O34" s="39"/>
      <c r="P34" s="38"/>
      <c r="Q34" s="38"/>
      <c r="R34" s="43" t="str">
        <f aca="false">IF(OR(P34="",Q34=""),"",P34/(P34+Q34))</f>
        <v/>
      </c>
      <c r="S34" s="41" t="str">
        <f aca="false">IF(OR(K34="",G34=""),"",K34+N(L34))</f>
        <v/>
      </c>
      <c r="T34" s="41" t="str">
        <f aca="false">IF(OR(K34="",G34=""),"",S34*Settings!$B$10)</f>
        <v/>
      </c>
      <c r="U34" s="41" t="str">
        <f aca="false">IF(OR(K34="",G34=""),"",(S34+T34)*IF(N34="",Settings!$B$5,N34))</f>
        <v/>
      </c>
      <c r="V34" s="41" t="str">
        <f aca="false">IF(OR(K34="",G34=""),"",IF(S34+T34&lt;=Settings!$B$8,Settings!$B$6,Settings!$B$7))</f>
        <v/>
      </c>
      <c r="W34" s="41" t="str">
        <f aca="false">IF(OR(K34="",G34=""),"",S34*IF(UPPER(O34)="Y",Settings!$B$9,0))</f>
        <v/>
      </c>
      <c r="X34" s="41" t="str">
        <f aca="false">IF(OR(K34="",G34=""),"",(S34+T34)*IF(M34="",Settings!$B$11,M34))</f>
        <v/>
      </c>
      <c r="Y34" s="41" t="str">
        <f aca="false">IF(OR(K34="",G34=""),"",U34+V34+W34+X34)</f>
        <v/>
      </c>
      <c r="Z34" s="41" t="str">
        <f aca="false">IF(OR(K34="",G34=""),"",S34-Y34)</f>
        <v/>
      </c>
      <c r="AA34" s="41" t="str">
        <f aca="false">IF(OR(K34="",G34=""),"",Z34*Settings!$B$12)</f>
        <v/>
      </c>
      <c r="AB34" s="41" t="str">
        <f aca="false">IF(OR(K34="",G34=""),"",S34*Settings!$B$13)</f>
        <v/>
      </c>
      <c r="AC34" s="44" t="str">
        <f aca="false">IF(OR(K34="",G34=""),"",Z34-AA34-AB34-J34)</f>
        <v/>
      </c>
      <c r="AD34" s="45" t="str">
        <f aca="false">IF(OR(K34="",G34=""),"",AC34*Settings!$B$14)</f>
        <v/>
      </c>
      <c r="AE34" s="43" t="str">
        <f aca="false">IF(OR(K34="",G34=""),"",IF(S34=0,"",AC34/S34))</f>
        <v/>
      </c>
      <c r="AF34" s="43" t="str">
        <f aca="false">IF(OR(K34="",G34=""),"",IF(J34=0,"",AC34/J34))</f>
        <v/>
      </c>
      <c r="AG34" s="41" t="str">
        <f aca="false">IF(OR(K34="",G34=""),"",(J34+V34)/(1-(1+Settings!$B$10)*(IF(N34="",Settings!$B$5,N34)+IF(M34="",Settings!$B$11,M34))-IF(UPPER(O34)="Y",Settings!$B$9,0)-Settings!$B$13-Settings!$B$12)-N(L34))</f>
        <v/>
      </c>
      <c r="AH34" s="41" t="str">
        <f aca="false">IF(OR(K34="",G34=""),"",(J34+V34+Settings!$B$15)/(1-(1+Settings!$B$10)*(IF(N34="",Settings!$B$5,N34)+IF(M34="",Settings!$B$11,M34))-IF(UPPER(O34)="Y",Settings!$B$9,0)-Settings!$B$13-Settings!$B$12)-N(L34))</f>
        <v/>
      </c>
      <c r="AI34" s="46" t="str">
        <f aca="false">IF(C34="","",IF(OR(ISNUMBER(SEARCH("amazon",C34)),ISNUMBER(SEARCH("walmart",C34)),ISNUMBER(SEARCH("aliexpress",C34)),ISNUMBER(SEARCH("temu",C34))),"⚠ Retail source — not allowed","✓ Wholesale / own stock"))</f>
        <v/>
      </c>
      <c r="AJ34" s="47" t="str">
        <f aca="false">IF(OR(K34="",G34=""),"",IF(LEFT(AI34,1)="⚠","❌ SKIP",IF(AND(AC34&gt;=Settings!$B$15,AF34&gt;=Settings!$B$16,OR(R34="",N(R34)&gt;=Settings!$B$17)),"✅ GO",IF(AC34&gt;0,"⚠ CHECK","❌ SKIP"))))</f>
        <v/>
      </c>
      <c r="AK34" s="38"/>
    </row>
    <row r="35" customFormat="false" ht="15" hidden="false" customHeight="false" outlineLevel="0" collapsed="false">
      <c r="A35" s="37" t="str">
        <f aca="false">IF(B35="","",ROW()-4)</f>
        <v/>
      </c>
      <c r="B35" s="38"/>
      <c r="C35" s="39"/>
      <c r="D35" s="38"/>
      <c r="E35" s="38"/>
      <c r="F35" s="38"/>
      <c r="G35" s="40"/>
      <c r="H35" s="40"/>
      <c r="I35" s="40"/>
      <c r="J35" s="41" t="str">
        <f aca="false">IF(G35="","",G35+N(H35)+N(I35))</f>
        <v/>
      </c>
      <c r="K35" s="40"/>
      <c r="L35" s="40"/>
      <c r="M35" s="42"/>
      <c r="N35" s="42"/>
      <c r="O35" s="39"/>
      <c r="P35" s="38"/>
      <c r="Q35" s="38"/>
      <c r="R35" s="43" t="str">
        <f aca="false">IF(OR(P35="",Q35=""),"",P35/(P35+Q35))</f>
        <v/>
      </c>
      <c r="S35" s="41" t="str">
        <f aca="false">IF(OR(K35="",G35=""),"",K35+N(L35))</f>
        <v/>
      </c>
      <c r="T35" s="41" t="str">
        <f aca="false">IF(OR(K35="",G35=""),"",S35*Settings!$B$10)</f>
        <v/>
      </c>
      <c r="U35" s="41" t="str">
        <f aca="false">IF(OR(K35="",G35=""),"",(S35+T35)*IF(N35="",Settings!$B$5,N35))</f>
        <v/>
      </c>
      <c r="V35" s="41" t="str">
        <f aca="false">IF(OR(K35="",G35=""),"",IF(S35+T35&lt;=Settings!$B$8,Settings!$B$6,Settings!$B$7))</f>
        <v/>
      </c>
      <c r="W35" s="41" t="str">
        <f aca="false">IF(OR(K35="",G35=""),"",S35*IF(UPPER(O35)="Y",Settings!$B$9,0))</f>
        <v/>
      </c>
      <c r="X35" s="41" t="str">
        <f aca="false">IF(OR(K35="",G35=""),"",(S35+T35)*IF(M35="",Settings!$B$11,M35))</f>
        <v/>
      </c>
      <c r="Y35" s="41" t="str">
        <f aca="false">IF(OR(K35="",G35=""),"",U35+V35+W35+X35)</f>
        <v/>
      </c>
      <c r="Z35" s="41" t="str">
        <f aca="false">IF(OR(K35="",G35=""),"",S35-Y35)</f>
        <v/>
      </c>
      <c r="AA35" s="41" t="str">
        <f aca="false">IF(OR(K35="",G35=""),"",Z35*Settings!$B$12)</f>
        <v/>
      </c>
      <c r="AB35" s="41" t="str">
        <f aca="false">IF(OR(K35="",G35=""),"",S35*Settings!$B$13)</f>
        <v/>
      </c>
      <c r="AC35" s="44" t="str">
        <f aca="false">IF(OR(K35="",G35=""),"",Z35-AA35-AB35-J35)</f>
        <v/>
      </c>
      <c r="AD35" s="45" t="str">
        <f aca="false">IF(OR(K35="",G35=""),"",AC35*Settings!$B$14)</f>
        <v/>
      </c>
      <c r="AE35" s="43" t="str">
        <f aca="false">IF(OR(K35="",G35=""),"",IF(S35=0,"",AC35/S35))</f>
        <v/>
      </c>
      <c r="AF35" s="43" t="str">
        <f aca="false">IF(OR(K35="",G35=""),"",IF(J35=0,"",AC35/J35))</f>
        <v/>
      </c>
      <c r="AG35" s="41" t="str">
        <f aca="false">IF(OR(K35="",G35=""),"",(J35+V35)/(1-(1+Settings!$B$10)*(IF(N35="",Settings!$B$5,N35)+IF(M35="",Settings!$B$11,M35))-IF(UPPER(O35)="Y",Settings!$B$9,0)-Settings!$B$13-Settings!$B$12)-N(L35))</f>
        <v/>
      </c>
      <c r="AH35" s="41" t="str">
        <f aca="false">IF(OR(K35="",G35=""),"",(J35+V35+Settings!$B$15)/(1-(1+Settings!$B$10)*(IF(N35="",Settings!$B$5,N35)+IF(M35="",Settings!$B$11,M35))-IF(UPPER(O35)="Y",Settings!$B$9,0)-Settings!$B$13-Settings!$B$12)-N(L35))</f>
        <v/>
      </c>
      <c r="AI35" s="46" t="str">
        <f aca="false">IF(C35="","",IF(OR(ISNUMBER(SEARCH("amazon",C35)),ISNUMBER(SEARCH("walmart",C35)),ISNUMBER(SEARCH("aliexpress",C35)),ISNUMBER(SEARCH("temu",C35))),"⚠ Retail source — not allowed","✓ Wholesale / own stock"))</f>
        <v/>
      </c>
      <c r="AJ35" s="47" t="str">
        <f aca="false">IF(OR(K35="",G35=""),"",IF(LEFT(AI35,1)="⚠","❌ SKIP",IF(AND(AC35&gt;=Settings!$B$15,AF35&gt;=Settings!$B$16,OR(R35="",N(R35)&gt;=Settings!$B$17)),"✅ GO",IF(AC35&gt;0,"⚠ CHECK","❌ SKIP"))))</f>
        <v/>
      </c>
      <c r="AK35" s="38"/>
    </row>
    <row r="36" customFormat="false" ht="15" hidden="false" customHeight="false" outlineLevel="0" collapsed="false">
      <c r="A36" s="37" t="str">
        <f aca="false">IF(B36="","",ROW()-4)</f>
        <v/>
      </c>
      <c r="B36" s="38"/>
      <c r="C36" s="39"/>
      <c r="D36" s="38"/>
      <c r="E36" s="38"/>
      <c r="F36" s="38"/>
      <c r="G36" s="40"/>
      <c r="H36" s="40"/>
      <c r="I36" s="40"/>
      <c r="J36" s="41" t="str">
        <f aca="false">IF(G36="","",G36+N(H36)+N(I36))</f>
        <v/>
      </c>
      <c r="K36" s="40"/>
      <c r="L36" s="40"/>
      <c r="M36" s="42"/>
      <c r="N36" s="42"/>
      <c r="O36" s="39"/>
      <c r="P36" s="38"/>
      <c r="Q36" s="38"/>
      <c r="R36" s="43" t="str">
        <f aca="false">IF(OR(P36="",Q36=""),"",P36/(P36+Q36))</f>
        <v/>
      </c>
      <c r="S36" s="41" t="str">
        <f aca="false">IF(OR(K36="",G36=""),"",K36+N(L36))</f>
        <v/>
      </c>
      <c r="T36" s="41" t="str">
        <f aca="false">IF(OR(K36="",G36=""),"",S36*Settings!$B$10)</f>
        <v/>
      </c>
      <c r="U36" s="41" t="str">
        <f aca="false">IF(OR(K36="",G36=""),"",(S36+T36)*IF(N36="",Settings!$B$5,N36))</f>
        <v/>
      </c>
      <c r="V36" s="41" t="str">
        <f aca="false">IF(OR(K36="",G36=""),"",IF(S36+T36&lt;=Settings!$B$8,Settings!$B$6,Settings!$B$7))</f>
        <v/>
      </c>
      <c r="W36" s="41" t="str">
        <f aca="false">IF(OR(K36="",G36=""),"",S36*IF(UPPER(O36)="Y",Settings!$B$9,0))</f>
        <v/>
      </c>
      <c r="X36" s="41" t="str">
        <f aca="false">IF(OR(K36="",G36=""),"",(S36+T36)*IF(M36="",Settings!$B$11,M36))</f>
        <v/>
      </c>
      <c r="Y36" s="41" t="str">
        <f aca="false">IF(OR(K36="",G36=""),"",U36+V36+W36+X36)</f>
        <v/>
      </c>
      <c r="Z36" s="41" t="str">
        <f aca="false">IF(OR(K36="",G36=""),"",S36-Y36)</f>
        <v/>
      </c>
      <c r="AA36" s="41" t="str">
        <f aca="false">IF(OR(K36="",G36=""),"",Z36*Settings!$B$12)</f>
        <v/>
      </c>
      <c r="AB36" s="41" t="str">
        <f aca="false">IF(OR(K36="",G36=""),"",S36*Settings!$B$13)</f>
        <v/>
      </c>
      <c r="AC36" s="44" t="str">
        <f aca="false">IF(OR(K36="",G36=""),"",Z36-AA36-AB36-J36)</f>
        <v/>
      </c>
      <c r="AD36" s="45" t="str">
        <f aca="false">IF(OR(K36="",G36=""),"",AC36*Settings!$B$14)</f>
        <v/>
      </c>
      <c r="AE36" s="43" t="str">
        <f aca="false">IF(OR(K36="",G36=""),"",IF(S36=0,"",AC36/S36))</f>
        <v/>
      </c>
      <c r="AF36" s="43" t="str">
        <f aca="false">IF(OR(K36="",G36=""),"",IF(J36=0,"",AC36/J36))</f>
        <v/>
      </c>
      <c r="AG36" s="41" t="str">
        <f aca="false">IF(OR(K36="",G36=""),"",(J36+V36)/(1-(1+Settings!$B$10)*(IF(N36="",Settings!$B$5,N36)+IF(M36="",Settings!$B$11,M36))-IF(UPPER(O36)="Y",Settings!$B$9,0)-Settings!$B$13-Settings!$B$12)-N(L36))</f>
        <v/>
      </c>
      <c r="AH36" s="41" t="str">
        <f aca="false">IF(OR(K36="",G36=""),"",(J36+V36+Settings!$B$15)/(1-(1+Settings!$B$10)*(IF(N36="",Settings!$B$5,N36)+IF(M36="",Settings!$B$11,M36))-IF(UPPER(O36)="Y",Settings!$B$9,0)-Settings!$B$13-Settings!$B$12)-N(L36))</f>
        <v/>
      </c>
      <c r="AI36" s="46" t="str">
        <f aca="false">IF(C36="","",IF(OR(ISNUMBER(SEARCH("amazon",C36)),ISNUMBER(SEARCH("walmart",C36)),ISNUMBER(SEARCH("aliexpress",C36)),ISNUMBER(SEARCH("temu",C36))),"⚠ Retail source — not allowed","✓ Wholesale / own stock"))</f>
        <v/>
      </c>
      <c r="AJ36" s="47" t="str">
        <f aca="false">IF(OR(K36="",G36=""),"",IF(LEFT(AI36,1)="⚠","❌ SKIP",IF(AND(AC36&gt;=Settings!$B$15,AF36&gt;=Settings!$B$16,OR(R36="",N(R36)&gt;=Settings!$B$17)),"✅ GO",IF(AC36&gt;0,"⚠ CHECK","❌ SKIP"))))</f>
        <v/>
      </c>
      <c r="AK36" s="38"/>
    </row>
    <row r="37" customFormat="false" ht="15" hidden="false" customHeight="false" outlineLevel="0" collapsed="false">
      <c r="A37" s="37" t="str">
        <f aca="false">IF(B37="","",ROW()-4)</f>
        <v/>
      </c>
      <c r="B37" s="38"/>
      <c r="C37" s="39"/>
      <c r="D37" s="38"/>
      <c r="E37" s="38"/>
      <c r="F37" s="38"/>
      <c r="G37" s="40"/>
      <c r="H37" s="40"/>
      <c r="I37" s="40"/>
      <c r="J37" s="41" t="str">
        <f aca="false">IF(G37="","",G37+N(H37)+N(I37))</f>
        <v/>
      </c>
      <c r="K37" s="40"/>
      <c r="L37" s="40"/>
      <c r="M37" s="42"/>
      <c r="N37" s="42"/>
      <c r="O37" s="39"/>
      <c r="P37" s="38"/>
      <c r="Q37" s="38"/>
      <c r="R37" s="43" t="str">
        <f aca="false">IF(OR(P37="",Q37=""),"",P37/(P37+Q37))</f>
        <v/>
      </c>
      <c r="S37" s="41" t="str">
        <f aca="false">IF(OR(K37="",G37=""),"",K37+N(L37))</f>
        <v/>
      </c>
      <c r="T37" s="41" t="str">
        <f aca="false">IF(OR(K37="",G37=""),"",S37*Settings!$B$10)</f>
        <v/>
      </c>
      <c r="U37" s="41" t="str">
        <f aca="false">IF(OR(K37="",G37=""),"",(S37+T37)*IF(N37="",Settings!$B$5,N37))</f>
        <v/>
      </c>
      <c r="V37" s="41" t="str">
        <f aca="false">IF(OR(K37="",G37=""),"",IF(S37+T37&lt;=Settings!$B$8,Settings!$B$6,Settings!$B$7))</f>
        <v/>
      </c>
      <c r="W37" s="41" t="str">
        <f aca="false">IF(OR(K37="",G37=""),"",S37*IF(UPPER(O37)="Y",Settings!$B$9,0))</f>
        <v/>
      </c>
      <c r="X37" s="41" t="str">
        <f aca="false">IF(OR(K37="",G37=""),"",(S37+T37)*IF(M37="",Settings!$B$11,M37))</f>
        <v/>
      </c>
      <c r="Y37" s="41" t="str">
        <f aca="false">IF(OR(K37="",G37=""),"",U37+V37+W37+X37)</f>
        <v/>
      </c>
      <c r="Z37" s="41" t="str">
        <f aca="false">IF(OR(K37="",G37=""),"",S37-Y37)</f>
        <v/>
      </c>
      <c r="AA37" s="41" t="str">
        <f aca="false">IF(OR(K37="",G37=""),"",Z37*Settings!$B$12)</f>
        <v/>
      </c>
      <c r="AB37" s="41" t="str">
        <f aca="false">IF(OR(K37="",G37=""),"",S37*Settings!$B$13)</f>
        <v/>
      </c>
      <c r="AC37" s="44" t="str">
        <f aca="false">IF(OR(K37="",G37=""),"",Z37-AA37-AB37-J37)</f>
        <v/>
      </c>
      <c r="AD37" s="45" t="str">
        <f aca="false">IF(OR(K37="",G37=""),"",AC37*Settings!$B$14)</f>
        <v/>
      </c>
      <c r="AE37" s="43" t="str">
        <f aca="false">IF(OR(K37="",G37=""),"",IF(S37=0,"",AC37/S37))</f>
        <v/>
      </c>
      <c r="AF37" s="43" t="str">
        <f aca="false">IF(OR(K37="",G37=""),"",IF(J37=0,"",AC37/J37))</f>
        <v/>
      </c>
      <c r="AG37" s="41" t="str">
        <f aca="false">IF(OR(K37="",G37=""),"",(J37+V37)/(1-(1+Settings!$B$10)*(IF(N37="",Settings!$B$5,N37)+IF(M37="",Settings!$B$11,M37))-IF(UPPER(O37)="Y",Settings!$B$9,0)-Settings!$B$13-Settings!$B$12)-N(L37))</f>
        <v/>
      </c>
      <c r="AH37" s="41" t="str">
        <f aca="false">IF(OR(K37="",G37=""),"",(J37+V37+Settings!$B$15)/(1-(1+Settings!$B$10)*(IF(N37="",Settings!$B$5,N37)+IF(M37="",Settings!$B$11,M37))-IF(UPPER(O37)="Y",Settings!$B$9,0)-Settings!$B$13-Settings!$B$12)-N(L37))</f>
        <v/>
      </c>
      <c r="AI37" s="46" t="str">
        <f aca="false">IF(C37="","",IF(OR(ISNUMBER(SEARCH("amazon",C37)),ISNUMBER(SEARCH("walmart",C37)),ISNUMBER(SEARCH("aliexpress",C37)),ISNUMBER(SEARCH("temu",C37))),"⚠ Retail source — not allowed","✓ Wholesale / own stock"))</f>
        <v/>
      </c>
      <c r="AJ37" s="47" t="str">
        <f aca="false">IF(OR(K37="",G37=""),"",IF(LEFT(AI37,1)="⚠","❌ SKIP",IF(AND(AC37&gt;=Settings!$B$15,AF37&gt;=Settings!$B$16,OR(R37="",N(R37)&gt;=Settings!$B$17)),"✅ GO",IF(AC37&gt;0,"⚠ CHECK","❌ SKIP"))))</f>
        <v/>
      </c>
      <c r="AK37" s="38"/>
    </row>
    <row r="38" customFormat="false" ht="15" hidden="false" customHeight="false" outlineLevel="0" collapsed="false">
      <c r="A38" s="37" t="str">
        <f aca="false">IF(B38="","",ROW()-4)</f>
        <v/>
      </c>
      <c r="B38" s="38"/>
      <c r="C38" s="39"/>
      <c r="D38" s="38"/>
      <c r="E38" s="38"/>
      <c r="F38" s="38"/>
      <c r="G38" s="40"/>
      <c r="H38" s="40"/>
      <c r="I38" s="40"/>
      <c r="J38" s="41" t="str">
        <f aca="false">IF(G38="","",G38+N(H38)+N(I38))</f>
        <v/>
      </c>
      <c r="K38" s="40"/>
      <c r="L38" s="40"/>
      <c r="M38" s="42"/>
      <c r="N38" s="42"/>
      <c r="O38" s="39"/>
      <c r="P38" s="38"/>
      <c r="Q38" s="38"/>
      <c r="R38" s="43" t="str">
        <f aca="false">IF(OR(P38="",Q38=""),"",P38/(P38+Q38))</f>
        <v/>
      </c>
      <c r="S38" s="41" t="str">
        <f aca="false">IF(OR(K38="",G38=""),"",K38+N(L38))</f>
        <v/>
      </c>
      <c r="T38" s="41" t="str">
        <f aca="false">IF(OR(K38="",G38=""),"",S38*Settings!$B$10)</f>
        <v/>
      </c>
      <c r="U38" s="41" t="str">
        <f aca="false">IF(OR(K38="",G38=""),"",(S38+T38)*IF(N38="",Settings!$B$5,N38))</f>
        <v/>
      </c>
      <c r="V38" s="41" t="str">
        <f aca="false">IF(OR(K38="",G38=""),"",IF(S38+T38&lt;=Settings!$B$8,Settings!$B$6,Settings!$B$7))</f>
        <v/>
      </c>
      <c r="W38" s="41" t="str">
        <f aca="false">IF(OR(K38="",G38=""),"",S38*IF(UPPER(O38)="Y",Settings!$B$9,0))</f>
        <v/>
      </c>
      <c r="X38" s="41" t="str">
        <f aca="false">IF(OR(K38="",G38=""),"",(S38+T38)*IF(M38="",Settings!$B$11,M38))</f>
        <v/>
      </c>
      <c r="Y38" s="41" t="str">
        <f aca="false">IF(OR(K38="",G38=""),"",U38+V38+W38+X38)</f>
        <v/>
      </c>
      <c r="Z38" s="41" t="str">
        <f aca="false">IF(OR(K38="",G38=""),"",S38-Y38)</f>
        <v/>
      </c>
      <c r="AA38" s="41" t="str">
        <f aca="false">IF(OR(K38="",G38=""),"",Z38*Settings!$B$12)</f>
        <v/>
      </c>
      <c r="AB38" s="41" t="str">
        <f aca="false">IF(OR(K38="",G38=""),"",S38*Settings!$B$13)</f>
        <v/>
      </c>
      <c r="AC38" s="44" t="str">
        <f aca="false">IF(OR(K38="",G38=""),"",Z38-AA38-AB38-J38)</f>
        <v/>
      </c>
      <c r="AD38" s="45" t="str">
        <f aca="false">IF(OR(K38="",G38=""),"",AC38*Settings!$B$14)</f>
        <v/>
      </c>
      <c r="AE38" s="43" t="str">
        <f aca="false">IF(OR(K38="",G38=""),"",IF(S38=0,"",AC38/S38))</f>
        <v/>
      </c>
      <c r="AF38" s="43" t="str">
        <f aca="false">IF(OR(K38="",G38=""),"",IF(J38=0,"",AC38/J38))</f>
        <v/>
      </c>
      <c r="AG38" s="41" t="str">
        <f aca="false">IF(OR(K38="",G38=""),"",(J38+V38)/(1-(1+Settings!$B$10)*(IF(N38="",Settings!$B$5,N38)+IF(M38="",Settings!$B$11,M38))-IF(UPPER(O38)="Y",Settings!$B$9,0)-Settings!$B$13-Settings!$B$12)-N(L38))</f>
        <v/>
      </c>
      <c r="AH38" s="41" t="str">
        <f aca="false">IF(OR(K38="",G38=""),"",(J38+V38+Settings!$B$15)/(1-(1+Settings!$B$10)*(IF(N38="",Settings!$B$5,N38)+IF(M38="",Settings!$B$11,M38))-IF(UPPER(O38)="Y",Settings!$B$9,0)-Settings!$B$13-Settings!$B$12)-N(L38))</f>
        <v/>
      </c>
      <c r="AI38" s="46" t="str">
        <f aca="false">IF(C38="","",IF(OR(ISNUMBER(SEARCH("amazon",C38)),ISNUMBER(SEARCH("walmart",C38)),ISNUMBER(SEARCH("aliexpress",C38)),ISNUMBER(SEARCH("temu",C38))),"⚠ Retail source — not allowed","✓ Wholesale / own stock"))</f>
        <v/>
      </c>
      <c r="AJ38" s="47" t="str">
        <f aca="false">IF(OR(K38="",G38=""),"",IF(LEFT(AI38,1)="⚠","❌ SKIP",IF(AND(AC38&gt;=Settings!$B$15,AF38&gt;=Settings!$B$16,OR(R38="",N(R38)&gt;=Settings!$B$17)),"✅ GO",IF(AC38&gt;0,"⚠ CHECK","❌ SKIP"))))</f>
        <v/>
      </c>
      <c r="AK38" s="38"/>
    </row>
    <row r="39" customFormat="false" ht="15" hidden="false" customHeight="false" outlineLevel="0" collapsed="false">
      <c r="A39" s="37" t="str">
        <f aca="false">IF(B39="","",ROW()-4)</f>
        <v/>
      </c>
      <c r="B39" s="38"/>
      <c r="C39" s="39"/>
      <c r="D39" s="38"/>
      <c r="E39" s="38"/>
      <c r="F39" s="38"/>
      <c r="G39" s="40"/>
      <c r="H39" s="40"/>
      <c r="I39" s="40"/>
      <c r="J39" s="41" t="str">
        <f aca="false">IF(G39="","",G39+N(H39)+N(I39))</f>
        <v/>
      </c>
      <c r="K39" s="40"/>
      <c r="L39" s="40"/>
      <c r="M39" s="42"/>
      <c r="N39" s="42"/>
      <c r="O39" s="39"/>
      <c r="P39" s="38"/>
      <c r="Q39" s="38"/>
      <c r="R39" s="43" t="str">
        <f aca="false">IF(OR(P39="",Q39=""),"",P39/(P39+Q39))</f>
        <v/>
      </c>
      <c r="S39" s="41" t="str">
        <f aca="false">IF(OR(K39="",G39=""),"",K39+N(L39))</f>
        <v/>
      </c>
      <c r="T39" s="41" t="str">
        <f aca="false">IF(OR(K39="",G39=""),"",S39*Settings!$B$10)</f>
        <v/>
      </c>
      <c r="U39" s="41" t="str">
        <f aca="false">IF(OR(K39="",G39=""),"",(S39+T39)*IF(N39="",Settings!$B$5,N39))</f>
        <v/>
      </c>
      <c r="V39" s="41" t="str">
        <f aca="false">IF(OR(K39="",G39=""),"",IF(S39+T39&lt;=Settings!$B$8,Settings!$B$6,Settings!$B$7))</f>
        <v/>
      </c>
      <c r="W39" s="41" t="str">
        <f aca="false">IF(OR(K39="",G39=""),"",S39*IF(UPPER(O39)="Y",Settings!$B$9,0))</f>
        <v/>
      </c>
      <c r="X39" s="41" t="str">
        <f aca="false">IF(OR(K39="",G39=""),"",(S39+T39)*IF(M39="",Settings!$B$11,M39))</f>
        <v/>
      </c>
      <c r="Y39" s="41" t="str">
        <f aca="false">IF(OR(K39="",G39=""),"",U39+V39+W39+X39)</f>
        <v/>
      </c>
      <c r="Z39" s="41" t="str">
        <f aca="false">IF(OR(K39="",G39=""),"",S39-Y39)</f>
        <v/>
      </c>
      <c r="AA39" s="41" t="str">
        <f aca="false">IF(OR(K39="",G39=""),"",Z39*Settings!$B$12)</f>
        <v/>
      </c>
      <c r="AB39" s="41" t="str">
        <f aca="false">IF(OR(K39="",G39=""),"",S39*Settings!$B$13)</f>
        <v/>
      </c>
      <c r="AC39" s="44" t="str">
        <f aca="false">IF(OR(K39="",G39=""),"",Z39-AA39-AB39-J39)</f>
        <v/>
      </c>
      <c r="AD39" s="45" t="str">
        <f aca="false">IF(OR(K39="",G39=""),"",AC39*Settings!$B$14)</f>
        <v/>
      </c>
      <c r="AE39" s="43" t="str">
        <f aca="false">IF(OR(K39="",G39=""),"",IF(S39=0,"",AC39/S39))</f>
        <v/>
      </c>
      <c r="AF39" s="43" t="str">
        <f aca="false">IF(OR(K39="",G39=""),"",IF(J39=0,"",AC39/J39))</f>
        <v/>
      </c>
      <c r="AG39" s="41" t="str">
        <f aca="false">IF(OR(K39="",G39=""),"",(J39+V39)/(1-(1+Settings!$B$10)*(IF(N39="",Settings!$B$5,N39)+IF(M39="",Settings!$B$11,M39))-IF(UPPER(O39)="Y",Settings!$B$9,0)-Settings!$B$13-Settings!$B$12)-N(L39))</f>
        <v/>
      </c>
      <c r="AH39" s="41" t="str">
        <f aca="false">IF(OR(K39="",G39=""),"",(J39+V39+Settings!$B$15)/(1-(1+Settings!$B$10)*(IF(N39="",Settings!$B$5,N39)+IF(M39="",Settings!$B$11,M39))-IF(UPPER(O39)="Y",Settings!$B$9,0)-Settings!$B$13-Settings!$B$12)-N(L39))</f>
        <v/>
      </c>
      <c r="AI39" s="46" t="str">
        <f aca="false">IF(C39="","",IF(OR(ISNUMBER(SEARCH("amazon",C39)),ISNUMBER(SEARCH("walmart",C39)),ISNUMBER(SEARCH("aliexpress",C39)),ISNUMBER(SEARCH("temu",C39))),"⚠ Retail source — not allowed","✓ Wholesale / own stock"))</f>
        <v/>
      </c>
      <c r="AJ39" s="47" t="str">
        <f aca="false">IF(OR(K39="",G39=""),"",IF(LEFT(AI39,1)="⚠","❌ SKIP",IF(AND(AC39&gt;=Settings!$B$15,AF39&gt;=Settings!$B$16,OR(R39="",N(R39)&gt;=Settings!$B$17)),"✅ GO",IF(AC39&gt;0,"⚠ CHECK","❌ SKIP"))))</f>
        <v/>
      </c>
      <c r="AK39" s="38"/>
    </row>
    <row r="40" customFormat="false" ht="15" hidden="false" customHeight="false" outlineLevel="0" collapsed="false">
      <c r="A40" s="37" t="str">
        <f aca="false">IF(B40="","",ROW()-4)</f>
        <v/>
      </c>
      <c r="B40" s="38"/>
      <c r="C40" s="39"/>
      <c r="D40" s="38"/>
      <c r="E40" s="38"/>
      <c r="F40" s="38"/>
      <c r="G40" s="40"/>
      <c r="H40" s="40"/>
      <c r="I40" s="40"/>
      <c r="J40" s="41" t="str">
        <f aca="false">IF(G40="","",G40+N(H40)+N(I40))</f>
        <v/>
      </c>
      <c r="K40" s="40"/>
      <c r="L40" s="40"/>
      <c r="M40" s="42"/>
      <c r="N40" s="42"/>
      <c r="O40" s="39"/>
      <c r="P40" s="38"/>
      <c r="Q40" s="38"/>
      <c r="R40" s="43" t="str">
        <f aca="false">IF(OR(P40="",Q40=""),"",P40/(P40+Q40))</f>
        <v/>
      </c>
      <c r="S40" s="41" t="str">
        <f aca="false">IF(OR(K40="",G40=""),"",K40+N(L40))</f>
        <v/>
      </c>
      <c r="T40" s="41" t="str">
        <f aca="false">IF(OR(K40="",G40=""),"",S40*Settings!$B$10)</f>
        <v/>
      </c>
      <c r="U40" s="41" t="str">
        <f aca="false">IF(OR(K40="",G40=""),"",(S40+T40)*IF(N40="",Settings!$B$5,N40))</f>
        <v/>
      </c>
      <c r="V40" s="41" t="str">
        <f aca="false">IF(OR(K40="",G40=""),"",IF(S40+T40&lt;=Settings!$B$8,Settings!$B$6,Settings!$B$7))</f>
        <v/>
      </c>
      <c r="W40" s="41" t="str">
        <f aca="false">IF(OR(K40="",G40=""),"",S40*IF(UPPER(O40)="Y",Settings!$B$9,0))</f>
        <v/>
      </c>
      <c r="X40" s="41" t="str">
        <f aca="false">IF(OR(K40="",G40=""),"",(S40+T40)*IF(M40="",Settings!$B$11,M40))</f>
        <v/>
      </c>
      <c r="Y40" s="41" t="str">
        <f aca="false">IF(OR(K40="",G40=""),"",U40+V40+W40+X40)</f>
        <v/>
      </c>
      <c r="Z40" s="41" t="str">
        <f aca="false">IF(OR(K40="",G40=""),"",S40-Y40)</f>
        <v/>
      </c>
      <c r="AA40" s="41" t="str">
        <f aca="false">IF(OR(K40="",G40=""),"",Z40*Settings!$B$12)</f>
        <v/>
      </c>
      <c r="AB40" s="41" t="str">
        <f aca="false">IF(OR(K40="",G40=""),"",S40*Settings!$B$13)</f>
        <v/>
      </c>
      <c r="AC40" s="44" t="str">
        <f aca="false">IF(OR(K40="",G40=""),"",Z40-AA40-AB40-J40)</f>
        <v/>
      </c>
      <c r="AD40" s="45" t="str">
        <f aca="false">IF(OR(K40="",G40=""),"",AC40*Settings!$B$14)</f>
        <v/>
      </c>
      <c r="AE40" s="43" t="str">
        <f aca="false">IF(OR(K40="",G40=""),"",IF(S40=0,"",AC40/S40))</f>
        <v/>
      </c>
      <c r="AF40" s="43" t="str">
        <f aca="false">IF(OR(K40="",G40=""),"",IF(J40=0,"",AC40/J40))</f>
        <v/>
      </c>
      <c r="AG40" s="41" t="str">
        <f aca="false">IF(OR(K40="",G40=""),"",(J40+V40)/(1-(1+Settings!$B$10)*(IF(N40="",Settings!$B$5,N40)+IF(M40="",Settings!$B$11,M40))-IF(UPPER(O40)="Y",Settings!$B$9,0)-Settings!$B$13-Settings!$B$12)-N(L40))</f>
        <v/>
      </c>
      <c r="AH40" s="41" t="str">
        <f aca="false">IF(OR(K40="",G40=""),"",(J40+V40+Settings!$B$15)/(1-(1+Settings!$B$10)*(IF(N40="",Settings!$B$5,N40)+IF(M40="",Settings!$B$11,M40))-IF(UPPER(O40)="Y",Settings!$B$9,0)-Settings!$B$13-Settings!$B$12)-N(L40))</f>
        <v/>
      </c>
      <c r="AI40" s="46" t="str">
        <f aca="false">IF(C40="","",IF(OR(ISNUMBER(SEARCH("amazon",C40)),ISNUMBER(SEARCH("walmart",C40)),ISNUMBER(SEARCH("aliexpress",C40)),ISNUMBER(SEARCH("temu",C40))),"⚠ Retail source — not allowed","✓ Wholesale / own stock"))</f>
        <v/>
      </c>
      <c r="AJ40" s="47" t="str">
        <f aca="false">IF(OR(K40="",G40=""),"",IF(LEFT(AI40,1)="⚠","❌ SKIP",IF(AND(AC40&gt;=Settings!$B$15,AF40&gt;=Settings!$B$16,OR(R40="",N(R40)&gt;=Settings!$B$17)),"✅ GO",IF(AC40&gt;0,"⚠ CHECK","❌ SKIP"))))</f>
        <v/>
      </c>
      <c r="AK40" s="38"/>
    </row>
    <row r="41" customFormat="false" ht="15" hidden="false" customHeight="false" outlineLevel="0" collapsed="false">
      <c r="A41" s="37" t="str">
        <f aca="false">IF(B41="","",ROW()-4)</f>
        <v/>
      </c>
      <c r="B41" s="38"/>
      <c r="C41" s="39"/>
      <c r="D41" s="38"/>
      <c r="E41" s="38"/>
      <c r="F41" s="38"/>
      <c r="G41" s="40"/>
      <c r="H41" s="40"/>
      <c r="I41" s="40"/>
      <c r="J41" s="41" t="str">
        <f aca="false">IF(G41="","",G41+N(H41)+N(I41))</f>
        <v/>
      </c>
      <c r="K41" s="40"/>
      <c r="L41" s="40"/>
      <c r="M41" s="42"/>
      <c r="N41" s="42"/>
      <c r="O41" s="39"/>
      <c r="P41" s="38"/>
      <c r="Q41" s="38"/>
      <c r="R41" s="43" t="str">
        <f aca="false">IF(OR(P41="",Q41=""),"",P41/(P41+Q41))</f>
        <v/>
      </c>
      <c r="S41" s="41" t="str">
        <f aca="false">IF(OR(K41="",G41=""),"",K41+N(L41))</f>
        <v/>
      </c>
      <c r="T41" s="41" t="str">
        <f aca="false">IF(OR(K41="",G41=""),"",S41*Settings!$B$10)</f>
        <v/>
      </c>
      <c r="U41" s="41" t="str">
        <f aca="false">IF(OR(K41="",G41=""),"",(S41+T41)*IF(N41="",Settings!$B$5,N41))</f>
        <v/>
      </c>
      <c r="V41" s="41" t="str">
        <f aca="false">IF(OR(K41="",G41=""),"",IF(S41+T41&lt;=Settings!$B$8,Settings!$B$6,Settings!$B$7))</f>
        <v/>
      </c>
      <c r="W41" s="41" t="str">
        <f aca="false">IF(OR(K41="",G41=""),"",S41*IF(UPPER(O41)="Y",Settings!$B$9,0))</f>
        <v/>
      </c>
      <c r="X41" s="41" t="str">
        <f aca="false">IF(OR(K41="",G41=""),"",(S41+T41)*IF(M41="",Settings!$B$11,M41))</f>
        <v/>
      </c>
      <c r="Y41" s="41" t="str">
        <f aca="false">IF(OR(K41="",G41=""),"",U41+V41+W41+X41)</f>
        <v/>
      </c>
      <c r="Z41" s="41" t="str">
        <f aca="false">IF(OR(K41="",G41=""),"",S41-Y41)</f>
        <v/>
      </c>
      <c r="AA41" s="41" t="str">
        <f aca="false">IF(OR(K41="",G41=""),"",Z41*Settings!$B$12)</f>
        <v/>
      </c>
      <c r="AB41" s="41" t="str">
        <f aca="false">IF(OR(K41="",G41=""),"",S41*Settings!$B$13)</f>
        <v/>
      </c>
      <c r="AC41" s="44" t="str">
        <f aca="false">IF(OR(K41="",G41=""),"",Z41-AA41-AB41-J41)</f>
        <v/>
      </c>
      <c r="AD41" s="45" t="str">
        <f aca="false">IF(OR(K41="",G41=""),"",AC41*Settings!$B$14)</f>
        <v/>
      </c>
      <c r="AE41" s="43" t="str">
        <f aca="false">IF(OR(K41="",G41=""),"",IF(S41=0,"",AC41/S41))</f>
        <v/>
      </c>
      <c r="AF41" s="43" t="str">
        <f aca="false">IF(OR(K41="",G41=""),"",IF(J41=0,"",AC41/J41))</f>
        <v/>
      </c>
      <c r="AG41" s="41" t="str">
        <f aca="false">IF(OR(K41="",G41=""),"",(J41+V41)/(1-(1+Settings!$B$10)*(IF(N41="",Settings!$B$5,N41)+IF(M41="",Settings!$B$11,M41))-IF(UPPER(O41)="Y",Settings!$B$9,0)-Settings!$B$13-Settings!$B$12)-N(L41))</f>
        <v/>
      </c>
      <c r="AH41" s="41" t="str">
        <f aca="false">IF(OR(K41="",G41=""),"",(J41+V41+Settings!$B$15)/(1-(1+Settings!$B$10)*(IF(N41="",Settings!$B$5,N41)+IF(M41="",Settings!$B$11,M41))-IF(UPPER(O41)="Y",Settings!$B$9,0)-Settings!$B$13-Settings!$B$12)-N(L41))</f>
        <v/>
      </c>
      <c r="AI41" s="46" t="str">
        <f aca="false">IF(C41="","",IF(OR(ISNUMBER(SEARCH("amazon",C41)),ISNUMBER(SEARCH("walmart",C41)),ISNUMBER(SEARCH("aliexpress",C41)),ISNUMBER(SEARCH("temu",C41))),"⚠ Retail source — not allowed","✓ Wholesale / own stock"))</f>
        <v/>
      </c>
      <c r="AJ41" s="47" t="str">
        <f aca="false">IF(OR(K41="",G41=""),"",IF(LEFT(AI41,1)="⚠","❌ SKIP",IF(AND(AC41&gt;=Settings!$B$15,AF41&gt;=Settings!$B$16,OR(R41="",N(R41)&gt;=Settings!$B$17)),"✅ GO",IF(AC41&gt;0,"⚠ CHECK","❌ SKIP"))))</f>
        <v/>
      </c>
      <c r="AK41" s="38"/>
    </row>
    <row r="42" customFormat="false" ht="15" hidden="false" customHeight="false" outlineLevel="0" collapsed="false">
      <c r="A42" s="37" t="str">
        <f aca="false">IF(B42="","",ROW()-4)</f>
        <v/>
      </c>
      <c r="B42" s="38"/>
      <c r="C42" s="39"/>
      <c r="D42" s="38"/>
      <c r="E42" s="38"/>
      <c r="F42" s="38"/>
      <c r="G42" s="40"/>
      <c r="H42" s="40"/>
      <c r="I42" s="40"/>
      <c r="J42" s="41" t="str">
        <f aca="false">IF(G42="","",G42+N(H42)+N(I42))</f>
        <v/>
      </c>
      <c r="K42" s="40"/>
      <c r="L42" s="40"/>
      <c r="M42" s="42"/>
      <c r="N42" s="42"/>
      <c r="O42" s="39"/>
      <c r="P42" s="38"/>
      <c r="Q42" s="38"/>
      <c r="R42" s="43" t="str">
        <f aca="false">IF(OR(P42="",Q42=""),"",P42/(P42+Q42))</f>
        <v/>
      </c>
      <c r="S42" s="41" t="str">
        <f aca="false">IF(OR(K42="",G42=""),"",K42+N(L42))</f>
        <v/>
      </c>
      <c r="T42" s="41" t="str">
        <f aca="false">IF(OR(K42="",G42=""),"",S42*Settings!$B$10)</f>
        <v/>
      </c>
      <c r="U42" s="41" t="str">
        <f aca="false">IF(OR(K42="",G42=""),"",(S42+T42)*IF(N42="",Settings!$B$5,N42))</f>
        <v/>
      </c>
      <c r="V42" s="41" t="str">
        <f aca="false">IF(OR(K42="",G42=""),"",IF(S42+T42&lt;=Settings!$B$8,Settings!$B$6,Settings!$B$7))</f>
        <v/>
      </c>
      <c r="W42" s="41" t="str">
        <f aca="false">IF(OR(K42="",G42=""),"",S42*IF(UPPER(O42)="Y",Settings!$B$9,0))</f>
        <v/>
      </c>
      <c r="X42" s="41" t="str">
        <f aca="false">IF(OR(K42="",G42=""),"",(S42+T42)*IF(M42="",Settings!$B$11,M42))</f>
        <v/>
      </c>
      <c r="Y42" s="41" t="str">
        <f aca="false">IF(OR(K42="",G42=""),"",U42+V42+W42+X42)</f>
        <v/>
      </c>
      <c r="Z42" s="41" t="str">
        <f aca="false">IF(OR(K42="",G42=""),"",S42-Y42)</f>
        <v/>
      </c>
      <c r="AA42" s="41" t="str">
        <f aca="false">IF(OR(K42="",G42=""),"",Z42*Settings!$B$12)</f>
        <v/>
      </c>
      <c r="AB42" s="41" t="str">
        <f aca="false">IF(OR(K42="",G42=""),"",S42*Settings!$B$13)</f>
        <v/>
      </c>
      <c r="AC42" s="44" t="str">
        <f aca="false">IF(OR(K42="",G42=""),"",Z42-AA42-AB42-J42)</f>
        <v/>
      </c>
      <c r="AD42" s="45" t="str">
        <f aca="false">IF(OR(K42="",G42=""),"",AC42*Settings!$B$14)</f>
        <v/>
      </c>
      <c r="AE42" s="43" t="str">
        <f aca="false">IF(OR(K42="",G42=""),"",IF(S42=0,"",AC42/S42))</f>
        <v/>
      </c>
      <c r="AF42" s="43" t="str">
        <f aca="false">IF(OR(K42="",G42=""),"",IF(J42=0,"",AC42/J42))</f>
        <v/>
      </c>
      <c r="AG42" s="41" t="str">
        <f aca="false">IF(OR(K42="",G42=""),"",(J42+V42)/(1-(1+Settings!$B$10)*(IF(N42="",Settings!$B$5,N42)+IF(M42="",Settings!$B$11,M42))-IF(UPPER(O42)="Y",Settings!$B$9,0)-Settings!$B$13-Settings!$B$12)-N(L42))</f>
        <v/>
      </c>
      <c r="AH42" s="41" t="str">
        <f aca="false">IF(OR(K42="",G42=""),"",(J42+V42+Settings!$B$15)/(1-(1+Settings!$B$10)*(IF(N42="",Settings!$B$5,N42)+IF(M42="",Settings!$B$11,M42))-IF(UPPER(O42)="Y",Settings!$B$9,0)-Settings!$B$13-Settings!$B$12)-N(L42))</f>
        <v/>
      </c>
      <c r="AI42" s="46" t="str">
        <f aca="false">IF(C42="","",IF(OR(ISNUMBER(SEARCH("amazon",C42)),ISNUMBER(SEARCH("walmart",C42)),ISNUMBER(SEARCH("aliexpress",C42)),ISNUMBER(SEARCH("temu",C42))),"⚠ Retail source — not allowed","✓ Wholesale / own stock"))</f>
        <v/>
      </c>
      <c r="AJ42" s="47" t="str">
        <f aca="false">IF(OR(K42="",G42=""),"",IF(LEFT(AI42,1)="⚠","❌ SKIP",IF(AND(AC42&gt;=Settings!$B$15,AF42&gt;=Settings!$B$16,OR(R42="",N(R42)&gt;=Settings!$B$17)),"✅ GO",IF(AC42&gt;0,"⚠ CHECK","❌ SKIP"))))</f>
        <v/>
      </c>
      <c r="AK42" s="38"/>
    </row>
    <row r="43" customFormat="false" ht="15" hidden="false" customHeight="false" outlineLevel="0" collapsed="false">
      <c r="A43" s="37" t="str">
        <f aca="false">IF(B43="","",ROW()-4)</f>
        <v/>
      </c>
      <c r="B43" s="38"/>
      <c r="C43" s="39"/>
      <c r="D43" s="38"/>
      <c r="E43" s="38"/>
      <c r="F43" s="38"/>
      <c r="G43" s="40"/>
      <c r="H43" s="40"/>
      <c r="I43" s="40"/>
      <c r="J43" s="41" t="str">
        <f aca="false">IF(G43="","",G43+N(H43)+N(I43))</f>
        <v/>
      </c>
      <c r="K43" s="40"/>
      <c r="L43" s="40"/>
      <c r="M43" s="42"/>
      <c r="N43" s="42"/>
      <c r="O43" s="39"/>
      <c r="P43" s="38"/>
      <c r="Q43" s="38"/>
      <c r="R43" s="43" t="str">
        <f aca="false">IF(OR(P43="",Q43=""),"",P43/(P43+Q43))</f>
        <v/>
      </c>
      <c r="S43" s="41" t="str">
        <f aca="false">IF(OR(K43="",G43=""),"",K43+N(L43))</f>
        <v/>
      </c>
      <c r="T43" s="41" t="str">
        <f aca="false">IF(OR(K43="",G43=""),"",S43*Settings!$B$10)</f>
        <v/>
      </c>
      <c r="U43" s="41" t="str">
        <f aca="false">IF(OR(K43="",G43=""),"",(S43+T43)*IF(N43="",Settings!$B$5,N43))</f>
        <v/>
      </c>
      <c r="V43" s="41" t="str">
        <f aca="false">IF(OR(K43="",G43=""),"",IF(S43+T43&lt;=Settings!$B$8,Settings!$B$6,Settings!$B$7))</f>
        <v/>
      </c>
      <c r="W43" s="41" t="str">
        <f aca="false">IF(OR(K43="",G43=""),"",S43*IF(UPPER(O43)="Y",Settings!$B$9,0))</f>
        <v/>
      </c>
      <c r="X43" s="41" t="str">
        <f aca="false">IF(OR(K43="",G43=""),"",(S43+T43)*IF(M43="",Settings!$B$11,M43))</f>
        <v/>
      </c>
      <c r="Y43" s="41" t="str">
        <f aca="false">IF(OR(K43="",G43=""),"",U43+V43+W43+X43)</f>
        <v/>
      </c>
      <c r="Z43" s="41" t="str">
        <f aca="false">IF(OR(K43="",G43=""),"",S43-Y43)</f>
        <v/>
      </c>
      <c r="AA43" s="41" t="str">
        <f aca="false">IF(OR(K43="",G43=""),"",Z43*Settings!$B$12)</f>
        <v/>
      </c>
      <c r="AB43" s="41" t="str">
        <f aca="false">IF(OR(K43="",G43=""),"",S43*Settings!$B$13)</f>
        <v/>
      </c>
      <c r="AC43" s="44" t="str">
        <f aca="false">IF(OR(K43="",G43=""),"",Z43-AA43-AB43-J43)</f>
        <v/>
      </c>
      <c r="AD43" s="45" t="str">
        <f aca="false">IF(OR(K43="",G43=""),"",AC43*Settings!$B$14)</f>
        <v/>
      </c>
      <c r="AE43" s="43" t="str">
        <f aca="false">IF(OR(K43="",G43=""),"",IF(S43=0,"",AC43/S43))</f>
        <v/>
      </c>
      <c r="AF43" s="43" t="str">
        <f aca="false">IF(OR(K43="",G43=""),"",IF(J43=0,"",AC43/J43))</f>
        <v/>
      </c>
      <c r="AG43" s="41" t="str">
        <f aca="false">IF(OR(K43="",G43=""),"",(J43+V43)/(1-(1+Settings!$B$10)*(IF(N43="",Settings!$B$5,N43)+IF(M43="",Settings!$B$11,M43))-IF(UPPER(O43)="Y",Settings!$B$9,0)-Settings!$B$13-Settings!$B$12)-N(L43))</f>
        <v/>
      </c>
      <c r="AH43" s="41" t="str">
        <f aca="false">IF(OR(K43="",G43=""),"",(J43+V43+Settings!$B$15)/(1-(1+Settings!$B$10)*(IF(N43="",Settings!$B$5,N43)+IF(M43="",Settings!$B$11,M43))-IF(UPPER(O43)="Y",Settings!$B$9,0)-Settings!$B$13-Settings!$B$12)-N(L43))</f>
        <v/>
      </c>
      <c r="AI43" s="46" t="str">
        <f aca="false">IF(C43="","",IF(OR(ISNUMBER(SEARCH("amazon",C43)),ISNUMBER(SEARCH("walmart",C43)),ISNUMBER(SEARCH("aliexpress",C43)),ISNUMBER(SEARCH("temu",C43))),"⚠ Retail source — not allowed","✓ Wholesale / own stock"))</f>
        <v/>
      </c>
      <c r="AJ43" s="47" t="str">
        <f aca="false">IF(OR(K43="",G43=""),"",IF(LEFT(AI43,1)="⚠","❌ SKIP",IF(AND(AC43&gt;=Settings!$B$15,AF43&gt;=Settings!$B$16,OR(R43="",N(R43)&gt;=Settings!$B$17)),"✅ GO",IF(AC43&gt;0,"⚠ CHECK","❌ SKIP"))))</f>
        <v/>
      </c>
      <c r="AK43" s="38"/>
    </row>
    <row r="44" customFormat="false" ht="15" hidden="false" customHeight="false" outlineLevel="0" collapsed="false">
      <c r="A44" s="37" t="str">
        <f aca="false">IF(B44="","",ROW()-4)</f>
        <v/>
      </c>
      <c r="B44" s="38"/>
      <c r="C44" s="39"/>
      <c r="D44" s="38"/>
      <c r="E44" s="38"/>
      <c r="F44" s="38"/>
      <c r="G44" s="40"/>
      <c r="H44" s="40"/>
      <c r="I44" s="40"/>
      <c r="J44" s="41" t="str">
        <f aca="false">IF(G44="","",G44+N(H44)+N(I44))</f>
        <v/>
      </c>
      <c r="K44" s="40"/>
      <c r="L44" s="40"/>
      <c r="M44" s="42"/>
      <c r="N44" s="42"/>
      <c r="O44" s="39"/>
      <c r="P44" s="38"/>
      <c r="Q44" s="38"/>
      <c r="R44" s="43" t="str">
        <f aca="false">IF(OR(P44="",Q44=""),"",P44/(P44+Q44))</f>
        <v/>
      </c>
      <c r="S44" s="41" t="str">
        <f aca="false">IF(OR(K44="",G44=""),"",K44+N(L44))</f>
        <v/>
      </c>
      <c r="T44" s="41" t="str">
        <f aca="false">IF(OR(K44="",G44=""),"",S44*Settings!$B$10)</f>
        <v/>
      </c>
      <c r="U44" s="41" t="str">
        <f aca="false">IF(OR(K44="",G44=""),"",(S44+T44)*IF(N44="",Settings!$B$5,N44))</f>
        <v/>
      </c>
      <c r="V44" s="41" t="str">
        <f aca="false">IF(OR(K44="",G44=""),"",IF(S44+T44&lt;=Settings!$B$8,Settings!$B$6,Settings!$B$7))</f>
        <v/>
      </c>
      <c r="W44" s="41" t="str">
        <f aca="false">IF(OR(K44="",G44=""),"",S44*IF(UPPER(O44)="Y",Settings!$B$9,0))</f>
        <v/>
      </c>
      <c r="X44" s="41" t="str">
        <f aca="false">IF(OR(K44="",G44=""),"",(S44+T44)*IF(M44="",Settings!$B$11,M44))</f>
        <v/>
      </c>
      <c r="Y44" s="41" t="str">
        <f aca="false">IF(OR(K44="",G44=""),"",U44+V44+W44+X44)</f>
        <v/>
      </c>
      <c r="Z44" s="41" t="str">
        <f aca="false">IF(OR(K44="",G44=""),"",S44-Y44)</f>
        <v/>
      </c>
      <c r="AA44" s="41" t="str">
        <f aca="false">IF(OR(K44="",G44=""),"",Z44*Settings!$B$12)</f>
        <v/>
      </c>
      <c r="AB44" s="41" t="str">
        <f aca="false">IF(OR(K44="",G44=""),"",S44*Settings!$B$13)</f>
        <v/>
      </c>
      <c r="AC44" s="44" t="str">
        <f aca="false">IF(OR(K44="",G44=""),"",Z44-AA44-AB44-J44)</f>
        <v/>
      </c>
      <c r="AD44" s="45" t="str">
        <f aca="false">IF(OR(K44="",G44=""),"",AC44*Settings!$B$14)</f>
        <v/>
      </c>
      <c r="AE44" s="43" t="str">
        <f aca="false">IF(OR(K44="",G44=""),"",IF(S44=0,"",AC44/S44))</f>
        <v/>
      </c>
      <c r="AF44" s="43" t="str">
        <f aca="false">IF(OR(K44="",G44=""),"",IF(J44=0,"",AC44/J44))</f>
        <v/>
      </c>
      <c r="AG44" s="41" t="str">
        <f aca="false">IF(OR(K44="",G44=""),"",(J44+V44)/(1-(1+Settings!$B$10)*(IF(N44="",Settings!$B$5,N44)+IF(M44="",Settings!$B$11,M44))-IF(UPPER(O44)="Y",Settings!$B$9,0)-Settings!$B$13-Settings!$B$12)-N(L44))</f>
        <v/>
      </c>
      <c r="AH44" s="41" t="str">
        <f aca="false">IF(OR(K44="",G44=""),"",(J44+V44+Settings!$B$15)/(1-(1+Settings!$B$10)*(IF(N44="",Settings!$B$5,N44)+IF(M44="",Settings!$B$11,M44))-IF(UPPER(O44)="Y",Settings!$B$9,0)-Settings!$B$13-Settings!$B$12)-N(L44))</f>
        <v/>
      </c>
      <c r="AI44" s="46" t="str">
        <f aca="false">IF(C44="","",IF(OR(ISNUMBER(SEARCH("amazon",C44)),ISNUMBER(SEARCH("walmart",C44)),ISNUMBER(SEARCH("aliexpress",C44)),ISNUMBER(SEARCH("temu",C44))),"⚠ Retail source — not allowed","✓ Wholesale / own stock"))</f>
        <v/>
      </c>
      <c r="AJ44" s="47" t="str">
        <f aca="false">IF(OR(K44="",G44=""),"",IF(LEFT(AI44,1)="⚠","❌ SKIP",IF(AND(AC44&gt;=Settings!$B$15,AF44&gt;=Settings!$B$16,OR(R44="",N(R44)&gt;=Settings!$B$17)),"✅ GO",IF(AC44&gt;0,"⚠ CHECK","❌ SKIP"))))</f>
        <v/>
      </c>
      <c r="AK44" s="38"/>
    </row>
    <row r="45" customFormat="false" ht="15" hidden="false" customHeight="false" outlineLevel="0" collapsed="false">
      <c r="A45" s="37" t="str">
        <f aca="false">IF(B45="","",ROW()-4)</f>
        <v/>
      </c>
      <c r="B45" s="38"/>
      <c r="C45" s="39"/>
      <c r="D45" s="38"/>
      <c r="E45" s="38"/>
      <c r="F45" s="38"/>
      <c r="G45" s="40"/>
      <c r="H45" s="40"/>
      <c r="I45" s="40"/>
      <c r="J45" s="41" t="str">
        <f aca="false">IF(G45="","",G45+N(H45)+N(I45))</f>
        <v/>
      </c>
      <c r="K45" s="40"/>
      <c r="L45" s="40"/>
      <c r="M45" s="42"/>
      <c r="N45" s="42"/>
      <c r="O45" s="39"/>
      <c r="P45" s="38"/>
      <c r="Q45" s="38"/>
      <c r="R45" s="43" t="str">
        <f aca="false">IF(OR(P45="",Q45=""),"",P45/(P45+Q45))</f>
        <v/>
      </c>
      <c r="S45" s="41" t="str">
        <f aca="false">IF(OR(K45="",G45=""),"",K45+N(L45))</f>
        <v/>
      </c>
      <c r="T45" s="41" t="str">
        <f aca="false">IF(OR(K45="",G45=""),"",S45*Settings!$B$10)</f>
        <v/>
      </c>
      <c r="U45" s="41" t="str">
        <f aca="false">IF(OR(K45="",G45=""),"",(S45+T45)*IF(N45="",Settings!$B$5,N45))</f>
        <v/>
      </c>
      <c r="V45" s="41" t="str">
        <f aca="false">IF(OR(K45="",G45=""),"",IF(S45+T45&lt;=Settings!$B$8,Settings!$B$6,Settings!$B$7))</f>
        <v/>
      </c>
      <c r="W45" s="41" t="str">
        <f aca="false">IF(OR(K45="",G45=""),"",S45*IF(UPPER(O45)="Y",Settings!$B$9,0))</f>
        <v/>
      </c>
      <c r="X45" s="41" t="str">
        <f aca="false">IF(OR(K45="",G45=""),"",(S45+T45)*IF(M45="",Settings!$B$11,M45))</f>
        <v/>
      </c>
      <c r="Y45" s="41" t="str">
        <f aca="false">IF(OR(K45="",G45=""),"",U45+V45+W45+X45)</f>
        <v/>
      </c>
      <c r="Z45" s="41" t="str">
        <f aca="false">IF(OR(K45="",G45=""),"",S45-Y45)</f>
        <v/>
      </c>
      <c r="AA45" s="41" t="str">
        <f aca="false">IF(OR(K45="",G45=""),"",Z45*Settings!$B$12)</f>
        <v/>
      </c>
      <c r="AB45" s="41" t="str">
        <f aca="false">IF(OR(K45="",G45=""),"",S45*Settings!$B$13)</f>
        <v/>
      </c>
      <c r="AC45" s="44" t="str">
        <f aca="false">IF(OR(K45="",G45=""),"",Z45-AA45-AB45-J45)</f>
        <v/>
      </c>
      <c r="AD45" s="45" t="str">
        <f aca="false">IF(OR(K45="",G45=""),"",AC45*Settings!$B$14)</f>
        <v/>
      </c>
      <c r="AE45" s="43" t="str">
        <f aca="false">IF(OR(K45="",G45=""),"",IF(S45=0,"",AC45/S45))</f>
        <v/>
      </c>
      <c r="AF45" s="43" t="str">
        <f aca="false">IF(OR(K45="",G45=""),"",IF(J45=0,"",AC45/J45))</f>
        <v/>
      </c>
      <c r="AG45" s="41" t="str">
        <f aca="false">IF(OR(K45="",G45=""),"",(J45+V45)/(1-(1+Settings!$B$10)*(IF(N45="",Settings!$B$5,N45)+IF(M45="",Settings!$B$11,M45))-IF(UPPER(O45)="Y",Settings!$B$9,0)-Settings!$B$13-Settings!$B$12)-N(L45))</f>
        <v/>
      </c>
      <c r="AH45" s="41" t="str">
        <f aca="false">IF(OR(K45="",G45=""),"",(J45+V45+Settings!$B$15)/(1-(1+Settings!$B$10)*(IF(N45="",Settings!$B$5,N45)+IF(M45="",Settings!$B$11,M45))-IF(UPPER(O45)="Y",Settings!$B$9,0)-Settings!$B$13-Settings!$B$12)-N(L45))</f>
        <v/>
      </c>
      <c r="AI45" s="46" t="str">
        <f aca="false">IF(C45="","",IF(OR(ISNUMBER(SEARCH("amazon",C45)),ISNUMBER(SEARCH("walmart",C45)),ISNUMBER(SEARCH("aliexpress",C45)),ISNUMBER(SEARCH("temu",C45))),"⚠ Retail source — not allowed","✓ Wholesale / own stock"))</f>
        <v/>
      </c>
      <c r="AJ45" s="47" t="str">
        <f aca="false">IF(OR(K45="",G45=""),"",IF(LEFT(AI45,1)="⚠","❌ SKIP",IF(AND(AC45&gt;=Settings!$B$15,AF45&gt;=Settings!$B$16,OR(R45="",N(R45)&gt;=Settings!$B$17)),"✅ GO",IF(AC45&gt;0,"⚠ CHECK","❌ SKIP"))))</f>
        <v/>
      </c>
      <c r="AK45" s="38"/>
    </row>
    <row r="46" customFormat="false" ht="15" hidden="false" customHeight="false" outlineLevel="0" collapsed="false">
      <c r="A46" s="37" t="str">
        <f aca="false">IF(B46="","",ROW()-4)</f>
        <v/>
      </c>
      <c r="B46" s="38"/>
      <c r="C46" s="39"/>
      <c r="D46" s="38"/>
      <c r="E46" s="38"/>
      <c r="F46" s="38"/>
      <c r="G46" s="40"/>
      <c r="H46" s="40"/>
      <c r="I46" s="40"/>
      <c r="J46" s="41" t="str">
        <f aca="false">IF(G46="","",G46+N(H46)+N(I46))</f>
        <v/>
      </c>
      <c r="K46" s="40"/>
      <c r="L46" s="40"/>
      <c r="M46" s="42"/>
      <c r="N46" s="42"/>
      <c r="O46" s="39"/>
      <c r="P46" s="38"/>
      <c r="Q46" s="38"/>
      <c r="R46" s="43" t="str">
        <f aca="false">IF(OR(P46="",Q46=""),"",P46/(P46+Q46))</f>
        <v/>
      </c>
      <c r="S46" s="41" t="str">
        <f aca="false">IF(OR(K46="",G46=""),"",K46+N(L46))</f>
        <v/>
      </c>
      <c r="T46" s="41" t="str">
        <f aca="false">IF(OR(K46="",G46=""),"",S46*Settings!$B$10)</f>
        <v/>
      </c>
      <c r="U46" s="41" t="str">
        <f aca="false">IF(OR(K46="",G46=""),"",(S46+T46)*IF(N46="",Settings!$B$5,N46))</f>
        <v/>
      </c>
      <c r="V46" s="41" t="str">
        <f aca="false">IF(OR(K46="",G46=""),"",IF(S46+T46&lt;=Settings!$B$8,Settings!$B$6,Settings!$B$7))</f>
        <v/>
      </c>
      <c r="W46" s="41" t="str">
        <f aca="false">IF(OR(K46="",G46=""),"",S46*IF(UPPER(O46)="Y",Settings!$B$9,0))</f>
        <v/>
      </c>
      <c r="X46" s="41" t="str">
        <f aca="false">IF(OR(K46="",G46=""),"",(S46+T46)*IF(M46="",Settings!$B$11,M46))</f>
        <v/>
      </c>
      <c r="Y46" s="41" t="str">
        <f aca="false">IF(OR(K46="",G46=""),"",U46+V46+W46+X46)</f>
        <v/>
      </c>
      <c r="Z46" s="41" t="str">
        <f aca="false">IF(OR(K46="",G46=""),"",S46-Y46)</f>
        <v/>
      </c>
      <c r="AA46" s="41" t="str">
        <f aca="false">IF(OR(K46="",G46=""),"",Z46*Settings!$B$12)</f>
        <v/>
      </c>
      <c r="AB46" s="41" t="str">
        <f aca="false">IF(OR(K46="",G46=""),"",S46*Settings!$B$13)</f>
        <v/>
      </c>
      <c r="AC46" s="44" t="str">
        <f aca="false">IF(OR(K46="",G46=""),"",Z46-AA46-AB46-J46)</f>
        <v/>
      </c>
      <c r="AD46" s="45" t="str">
        <f aca="false">IF(OR(K46="",G46=""),"",AC46*Settings!$B$14)</f>
        <v/>
      </c>
      <c r="AE46" s="43" t="str">
        <f aca="false">IF(OR(K46="",G46=""),"",IF(S46=0,"",AC46/S46))</f>
        <v/>
      </c>
      <c r="AF46" s="43" t="str">
        <f aca="false">IF(OR(K46="",G46=""),"",IF(J46=0,"",AC46/J46))</f>
        <v/>
      </c>
      <c r="AG46" s="41" t="str">
        <f aca="false">IF(OR(K46="",G46=""),"",(J46+V46)/(1-(1+Settings!$B$10)*(IF(N46="",Settings!$B$5,N46)+IF(M46="",Settings!$B$11,M46))-IF(UPPER(O46)="Y",Settings!$B$9,0)-Settings!$B$13-Settings!$B$12)-N(L46))</f>
        <v/>
      </c>
      <c r="AH46" s="41" t="str">
        <f aca="false">IF(OR(K46="",G46=""),"",(J46+V46+Settings!$B$15)/(1-(1+Settings!$B$10)*(IF(N46="",Settings!$B$5,N46)+IF(M46="",Settings!$B$11,M46))-IF(UPPER(O46)="Y",Settings!$B$9,0)-Settings!$B$13-Settings!$B$12)-N(L46))</f>
        <v/>
      </c>
      <c r="AI46" s="46" t="str">
        <f aca="false">IF(C46="","",IF(OR(ISNUMBER(SEARCH("amazon",C46)),ISNUMBER(SEARCH("walmart",C46)),ISNUMBER(SEARCH("aliexpress",C46)),ISNUMBER(SEARCH("temu",C46))),"⚠ Retail source — not allowed","✓ Wholesale / own stock"))</f>
        <v/>
      </c>
      <c r="AJ46" s="47" t="str">
        <f aca="false">IF(OR(K46="",G46=""),"",IF(LEFT(AI46,1)="⚠","❌ SKIP",IF(AND(AC46&gt;=Settings!$B$15,AF46&gt;=Settings!$B$16,OR(R46="",N(R46)&gt;=Settings!$B$17)),"✅ GO",IF(AC46&gt;0,"⚠ CHECK","❌ SKIP"))))</f>
        <v/>
      </c>
      <c r="AK46" s="38"/>
    </row>
    <row r="47" customFormat="false" ht="15" hidden="false" customHeight="false" outlineLevel="0" collapsed="false">
      <c r="A47" s="37" t="str">
        <f aca="false">IF(B47="","",ROW()-4)</f>
        <v/>
      </c>
      <c r="B47" s="38"/>
      <c r="C47" s="39"/>
      <c r="D47" s="38"/>
      <c r="E47" s="38"/>
      <c r="F47" s="38"/>
      <c r="G47" s="40"/>
      <c r="H47" s="40"/>
      <c r="I47" s="40"/>
      <c r="J47" s="41" t="str">
        <f aca="false">IF(G47="","",G47+N(H47)+N(I47))</f>
        <v/>
      </c>
      <c r="K47" s="40"/>
      <c r="L47" s="40"/>
      <c r="M47" s="42"/>
      <c r="N47" s="42"/>
      <c r="O47" s="39"/>
      <c r="P47" s="38"/>
      <c r="Q47" s="38"/>
      <c r="R47" s="43" t="str">
        <f aca="false">IF(OR(P47="",Q47=""),"",P47/(P47+Q47))</f>
        <v/>
      </c>
      <c r="S47" s="41" t="str">
        <f aca="false">IF(OR(K47="",G47=""),"",K47+N(L47))</f>
        <v/>
      </c>
      <c r="T47" s="41" t="str">
        <f aca="false">IF(OR(K47="",G47=""),"",S47*Settings!$B$10)</f>
        <v/>
      </c>
      <c r="U47" s="41" t="str">
        <f aca="false">IF(OR(K47="",G47=""),"",(S47+T47)*IF(N47="",Settings!$B$5,N47))</f>
        <v/>
      </c>
      <c r="V47" s="41" t="str">
        <f aca="false">IF(OR(K47="",G47=""),"",IF(S47+T47&lt;=Settings!$B$8,Settings!$B$6,Settings!$B$7))</f>
        <v/>
      </c>
      <c r="W47" s="41" t="str">
        <f aca="false">IF(OR(K47="",G47=""),"",S47*IF(UPPER(O47)="Y",Settings!$B$9,0))</f>
        <v/>
      </c>
      <c r="X47" s="41" t="str">
        <f aca="false">IF(OR(K47="",G47=""),"",(S47+T47)*IF(M47="",Settings!$B$11,M47))</f>
        <v/>
      </c>
      <c r="Y47" s="41" t="str">
        <f aca="false">IF(OR(K47="",G47=""),"",U47+V47+W47+X47)</f>
        <v/>
      </c>
      <c r="Z47" s="41" t="str">
        <f aca="false">IF(OR(K47="",G47=""),"",S47-Y47)</f>
        <v/>
      </c>
      <c r="AA47" s="41" t="str">
        <f aca="false">IF(OR(K47="",G47=""),"",Z47*Settings!$B$12)</f>
        <v/>
      </c>
      <c r="AB47" s="41" t="str">
        <f aca="false">IF(OR(K47="",G47=""),"",S47*Settings!$B$13)</f>
        <v/>
      </c>
      <c r="AC47" s="44" t="str">
        <f aca="false">IF(OR(K47="",G47=""),"",Z47-AA47-AB47-J47)</f>
        <v/>
      </c>
      <c r="AD47" s="45" t="str">
        <f aca="false">IF(OR(K47="",G47=""),"",AC47*Settings!$B$14)</f>
        <v/>
      </c>
      <c r="AE47" s="43" t="str">
        <f aca="false">IF(OR(K47="",G47=""),"",IF(S47=0,"",AC47/S47))</f>
        <v/>
      </c>
      <c r="AF47" s="43" t="str">
        <f aca="false">IF(OR(K47="",G47=""),"",IF(J47=0,"",AC47/J47))</f>
        <v/>
      </c>
      <c r="AG47" s="41" t="str">
        <f aca="false">IF(OR(K47="",G47=""),"",(J47+V47)/(1-(1+Settings!$B$10)*(IF(N47="",Settings!$B$5,N47)+IF(M47="",Settings!$B$11,M47))-IF(UPPER(O47)="Y",Settings!$B$9,0)-Settings!$B$13-Settings!$B$12)-N(L47))</f>
        <v/>
      </c>
      <c r="AH47" s="41" t="str">
        <f aca="false">IF(OR(K47="",G47=""),"",(J47+V47+Settings!$B$15)/(1-(1+Settings!$B$10)*(IF(N47="",Settings!$B$5,N47)+IF(M47="",Settings!$B$11,M47))-IF(UPPER(O47)="Y",Settings!$B$9,0)-Settings!$B$13-Settings!$B$12)-N(L47))</f>
        <v/>
      </c>
      <c r="AI47" s="46" t="str">
        <f aca="false">IF(C47="","",IF(OR(ISNUMBER(SEARCH("amazon",C47)),ISNUMBER(SEARCH("walmart",C47)),ISNUMBER(SEARCH("aliexpress",C47)),ISNUMBER(SEARCH("temu",C47))),"⚠ Retail source — not allowed","✓ Wholesale / own stock"))</f>
        <v/>
      </c>
      <c r="AJ47" s="47" t="str">
        <f aca="false">IF(OR(K47="",G47=""),"",IF(LEFT(AI47,1)="⚠","❌ SKIP",IF(AND(AC47&gt;=Settings!$B$15,AF47&gt;=Settings!$B$16,OR(R47="",N(R47)&gt;=Settings!$B$17)),"✅ GO",IF(AC47&gt;0,"⚠ CHECK","❌ SKIP"))))</f>
        <v/>
      </c>
      <c r="AK47" s="38"/>
    </row>
    <row r="48" customFormat="false" ht="15" hidden="false" customHeight="false" outlineLevel="0" collapsed="false">
      <c r="A48" s="37" t="str">
        <f aca="false">IF(B48="","",ROW()-4)</f>
        <v/>
      </c>
      <c r="B48" s="38"/>
      <c r="C48" s="39"/>
      <c r="D48" s="38"/>
      <c r="E48" s="38"/>
      <c r="F48" s="38"/>
      <c r="G48" s="40"/>
      <c r="H48" s="40"/>
      <c r="I48" s="40"/>
      <c r="J48" s="41" t="str">
        <f aca="false">IF(G48="","",G48+N(H48)+N(I48))</f>
        <v/>
      </c>
      <c r="K48" s="40"/>
      <c r="L48" s="40"/>
      <c r="M48" s="42"/>
      <c r="N48" s="42"/>
      <c r="O48" s="39"/>
      <c r="P48" s="38"/>
      <c r="Q48" s="38"/>
      <c r="R48" s="43" t="str">
        <f aca="false">IF(OR(P48="",Q48=""),"",P48/(P48+Q48))</f>
        <v/>
      </c>
      <c r="S48" s="41" t="str">
        <f aca="false">IF(OR(K48="",G48=""),"",K48+N(L48))</f>
        <v/>
      </c>
      <c r="T48" s="41" t="str">
        <f aca="false">IF(OR(K48="",G48=""),"",S48*Settings!$B$10)</f>
        <v/>
      </c>
      <c r="U48" s="41" t="str">
        <f aca="false">IF(OR(K48="",G48=""),"",(S48+T48)*IF(N48="",Settings!$B$5,N48))</f>
        <v/>
      </c>
      <c r="V48" s="41" t="str">
        <f aca="false">IF(OR(K48="",G48=""),"",IF(S48+T48&lt;=Settings!$B$8,Settings!$B$6,Settings!$B$7))</f>
        <v/>
      </c>
      <c r="W48" s="41" t="str">
        <f aca="false">IF(OR(K48="",G48=""),"",S48*IF(UPPER(O48)="Y",Settings!$B$9,0))</f>
        <v/>
      </c>
      <c r="X48" s="41" t="str">
        <f aca="false">IF(OR(K48="",G48=""),"",(S48+T48)*IF(M48="",Settings!$B$11,M48))</f>
        <v/>
      </c>
      <c r="Y48" s="41" t="str">
        <f aca="false">IF(OR(K48="",G48=""),"",U48+V48+W48+X48)</f>
        <v/>
      </c>
      <c r="Z48" s="41" t="str">
        <f aca="false">IF(OR(K48="",G48=""),"",S48-Y48)</f>
        <v/>
      </c>
      <c r="AA48" s="41" t="str">
        <f aca="false">IF(OR(K48="",G48=""),"",Z48*Settings!$B$12)</f>
        <v/>
      </c>
      <c r="AB48" s="41" t="str">
        <f aca="false">IF(OR(K48="",G48=""),"",S48*Settings!$B$13)</f>
        <v/>
      </c>
      <c r="AC48" s="44" t="str">
        <f aca="false">IF(OR(K48="",G48=""),"",Z48-AA48-AB48-J48)</f>
        <v/>
      </c>
      <c r="AD48" s="45" t="str">
        <f aca="false">IF(OR(K48="",G48=""),"",AC48*Settings!$B$14)</f>
        <v/>
      </c>
      <c r="AE48" s="43" t="str">
        <f aca="false">IF(OR(K48="",G48=""),"",IF(S48=0,"",AC48/S48))</f>
        <v/>
      </c>
      <c r="AF48" s="43" t="str">
        <f aca="false">IF(OR(K48="",G48=""),"",IF(J48=0,"",AC48/J48))</f>
        <v/>
      </c>
      <c r="AG48" s="41" t="str">
        <f aca="false">IF(OR(K48="",G48=""),"",(J48+V48)/(1-(1+Settings!$B$10)*(IF(N48="",Settings!$B$5,N48)+IF(M48="",Settings!$B$11,M48))-IF(UPPER(O48)="Y",Settings!$B$9,0)-Settings!$B$13-Settings!$B$12)-N(L48))</f>
        <v/>
      </c>
      <c r="AH48" s="41" t="str">
        <f aca="false">IF(OR(K48="",G48=""),"",(J48+V48+Settings!$B$15)/(1-(1+Settings!$B$10)*(IF(N48="",Settings!$B$5,N48)+IF(M48="",Settings!$B$11,M48))-IF(UPPER(O48)="Y",Settings!$B$9,0)-Settings!$B$13-Settings!$B$12)-N(L48))</f>
        <v/>
      </c>
      <c r="AI48" s="46" t="str">
        <f aca="false">IF(C48="","",IF(OR(ISNUMBER(SEARCH("amazon",C48)),ISNUMBER(SEARCH("walmart",C48)),ISNUMBER(SEARCH("aliexpress",C48)),ISNUMBER(SEARCH("temu",C48))),"⚠ Retail source — not allowed","✓ Wholesale / own stock"))</f>
        <v/>
      </c>
      <c r="AJ48" s="47" t="str">
        <f aca="false">IF(OR(K48="",G48=""),"",IF(LEFT(AI48,1)="⚠","❌ SKIP",IF(AND(AC48&gt;=Settings!$B$15,AF48&gt;=Settings!$B$16,OR(R48="",N(R48)&gt;=Settings!$B$17)),"✅ GO",IF(AC48&gt;0,"⚠ CHECK","❌ SKIP"))))</f>
        <v/>
      </c>
      <c r="AK48" s="38"/>
    </row>
    <row r="49" customFormat="false" ht="15" hidden="false" customHeight="false" outlineLevel="0" collapsed="false">
      <c r="A49" s="37" t="str">
        <f aca="false">IF(B49="","",ROW()-4)</f>
        <v/>
      </c>
      <c r="B49" s="38"/>
      <c r="C49" s="39"/>
      <c r="D49" s="38"/>
      <c r="E49" s="38"/>
      <c r="F49" s="38"/>
      <c r="G49" s="40"/>
      <c r="H49" s="40"/>
      <c r="I49" s="40"/>
      <c r="J49" s="41" t="str">
        <f aca="false">IF(G49="","",G49+N(H49)+N(I49))</f>
        <v/>
      </c>
      <c r="K49" s="40"/>
      <c r="L49" s="40"/>
      <c r="M49" s="42"/>
      <c r="N49" s="42"/>
      <c r="O49" s="39"/>
      <c r="P49" s="38"/>
      <c r="Q49" s="38"/>
      <c r="R49" s="43" t="str">
        <f aca="false">IF(OR(P49="",Q49=""),"",P49/(P49+Q49))</f>
        <v/>
      </c>
      <c r="S49" s="41" t="str">
        <f aca="false">IF(OR(K49="",G49=""),"",K49+N(L49))</f>
        <v/>
      </c>
      <c r="T49" s="41" t="str">
        <f aca="false">IF(OR(K49="",G49=""),"",S49*Settings!$B$10)</f>
        <v/>
      </c>
      <c r="U49" s="41" t="str">
        <f aca="false">IF(OR(K49="",G49=""),"",(S49+T49)*IF(N49="",Settings!$B$5,N49))</f>
        <v/>
      </c>
      <c r="V49" s="41" t="str">
        <f aca="false">IF(OR(K49="",G49=""),"",IF(S49+T49&lt;=Settings!$B$8,Settings!$B$6,Settings!$B$7))</f>
        <v/>
      </c>
      <c r="W49" s="41" t="str">
        <f aca="false">IF(OR(K49="",G49=""),"",S49*IF(UPPER(O49)="Y",Settings!$B$9,0))</f>
        <v/>
      </c>
      <c r="X49" s="41" t="str">
        <f aca="false">IF(OR(K49="",G49=""),"",(S49+T49)*IF(M49="",Settings!$B$11,M49))</f>
        <v/>
      </c>
      <c r="Y49" s="41" t="str">
        <f aca="false">IF(OR(K49="",G49=""),"",U49+V49+W49+X49)</f>
        <v/>
      </c>
      <c r="Z49" s="41" t="str">
        <f aca="false">IF(OR(K49="",G49=""),"",S49-Y49)</f>
        <v/>
      </c>
      <c r="AA49" s="41" t="str">
        <f aca="false">IF(OR(K49="",G49=""),"",Z49*Settings!$B$12)</f>
        <v/>
      </c>
      <c r="AB49" s="41" t="str">
        <f aca="false">IF(OR(K49="",G49=""),"",S49*Settings!$B$13)</f>
        <v/>
      </c>
      <c r="AC49" s="44" t="str">
        <f aca="false">IF(OR(K49="",G49=""),"",Z49-AA49-AB49-J49)</f>
        <v/>
      </c>
      <c r="AD49" s="45" t="str">
        <f aca="false">IF(OR(K49="",G49=""),"",AC49*Settings!$B$14)</f>
        <v/>
      </c>
      <c r="AE49" s="43" t="str">
        <f aca="false">IF(OR(K49="",G49=""),"",IF(S49=0,"",AC49/S49))</f>
        <v/>
      </c>
      <c r="AF49" s="43" t="str">
        <f aca="false">IF(OR(K49="",G49=""),"",IF(J49=0,"",AC49/J49))</f>
        <v/>
      </c>
      <c r="AG49" s="41" t="str">
        <f aca="false">IF(OR(K49="",G49=""),"",(J49+V49)/(1-(1+Settings!$B$10)*(IF(N49="",Settings!$B$5,N49)+IF(M49="",Settings!$B$11,M49))-IF(UPPER(O49)="Y",Settings!$B$9,0)-Settings!$B$13-Settings!$B$12)-N(L49))</f>
        <v/>
      </c>
      <c r="AH49" s="41" t="str">
        <f aca="false">IF(OR(K49="",G49=""),"",(J49+V49+Settings!$B$15)/(1-(1+Settings!$B$10)*(IF(N49="",Settings!$B$5,N49)+IF(M49="",Settings!$B$11,M49))-IF(UPPER(O49)="Y",Settings!$B$9,0)-Settings!$B$13-Settings!$B$12)-N(L49))</f>
        <v/>
      </c>
      <c r="AI49" s="46" t="str">
        <f aca="false">IF(C49="","",IF(OR(ISNUMBER(SEARCH("amazon",C49)),ISNUMBER(SEARCH("walmart",C49)),ISNUMBER(SEARCH("aliexpress",C49)),ISNUMBER(SEARCH("temu",C49))),"⚠ Retail source — not allowed","✓ Wholesale / own stock"))</f>
        <v/>
      </c>
      <c r="AJ49" s="47" t="str">
        <f aca="false">IF(OR(K49="",G49=""),"",IF(LEFT(AI49,1)="⚠","❌ SKIP",IF(AND(AC49&gt;=Settings!$B$15,AF49&gt;=Settings!$B$16,OR(R49="",N(R49)&gt;=Settings!$B$17)),"✅ GO",IF(AC49&gt;0,"⚠ CHECK","❌ SKIP"))))</f>
        <v/>
      </c>
      <c r="AK49" s="38"/>
    </row>
    <row r="50" customFormat="false" ht="15" hidden="false" customHeight="false" outlineLevel="0" collapsed="false">
      <c r="A50" s="37" t="str">
        <f aca="false">IF(B50="","",ROW()-4)</f>
        <v/>
      </c>
      <c r="B50" s="38"/>
      <c r="C50" s="39"/>
      <c r="D50" s="38"/>
      <c r="E50" s="38"/>
      <c r="F50" s="38"/>
      <c r="G50" s="40"/>
      <c r="H50" s="40"/>
      <c r="I50" s="40"/>
      <c r="J50" s="41" t="str">
        <f aca="false">IF(G50="","",G50+N(H50)+N(I50))</f>
        <v/>
      </c>
      <c r="K50" s="40"/>
      <c r="L50" s="40"/>
      <c r="M50" s="42"/>
      <c r="N50" s="42"/>
      <c r="O50" s="39"/>
      <c r="P50" s="38"/>
      <c r="Q50" s="38"/>
      <c r="R50" s="43" t="str">
        <f aca="false">IF(OR(P50="",Q50=""),"",P50/(P50+Q50))</f>
        <v/>
      </c>
      <c r="S50" s="41" t="str">
        <f aca="false">IF(OR(K50="",G50=""),"",K50+N(L50))</f>
        <v/>
      </c>
      <c r="T50" s="41" t="str">
        <f aca="false">IF(OR(K50="",G50=""),"",S50*Settings!$B$10)</f>
        <v/>
      </c>
      <c r="U50" s="41" t="str">
        <f aca="false">IF(OR(K50="",G50=""),"",(S50+T50)*IF(N50="",Settings!$B$5,N50))</f>
        <v/>
      </c>
      <c r="V50" s="41" t="str">
        <f aca="false">IF(OR(K50="",G50=""),"",IF(S50+T50&lt;=Settings!$B$8,Settings!$B$6,Settings!$B$7))</f>
        <v/>
      </c>
      <c r="W50" s="41" t="str">
        <f aca="false">IF(OR(K50="",G50=""),"",S50*IF(UPPER(O50)="Y",Settings!$B$9,0))</f>
        <v/>
      </c>
      <c r="X50" s="41" t="str">
        <f aca="false">IF(OR(K50="",G50=""),"",(S50+T50)*IF(M50="",Settings!$B$11,M50))</f>
        <v/>
      </c>
      <c r="Y50" s="41" t="str">
        <f aca="false">IF(OR(K50="",G50=""),"",U50+V50+W50+X50)</f>
        <v/>
      </c>
      <c r="Z50" s="41" t="str">
        <f aca="false">IF(OR(K50="",G50=""),"",S50-Y50)</f>
        <v/>
      </c>
      <c r="AA50" s="41" t="str">
        <f aca="false">IF(OR(K50="",G50=""),"",Z50*Settings!$B$12)</f>
        <v/>
      </c>
      <c r="AB50" s="41" t="str">
        <f aca="false">IF(OR(K50="",G50=""),"",S50*Settings!$B$13)</f>
        <v/>
      </c>
      <c r="AC50" s="44" t="str">
        <f aca="false">IF(OR(K50="",G50=""),"",Z50-AA50-AB50-J50)</f>
        <v/>
      </c>
      <c r="AD50" s="45" t="str">
        <f aca="false">IF(OR(K50="",G50=""),"",AC50*Settings!$B$14)</f>
        <v/>
      </c>
      <c r="AE50" s="43" t="str">
        <f aca="false">IF(OR(K50="",G50=""),"",IF(S50=0,"",AC50/S50))</f>
        <v/>
      </c>
      <c r="AF50" s="43" t="str">
        <f aca="false">IF(OR(K50="",G50=""),"",IF(J50=0,"",AC50/J50))</f>
        <v/>
      </c>
      <c r="AG50" s="41" t="str">
        <f aca="false">IF(OR(K50="",G50=""),"",(J50+V50)/(1-(1+Settings!$B$10)*(IF(N50="",Settings!$B$5,N50)+IF(M50="",Settings!$B$11,M50))-IF(UPPER(O50)="Y",Settings!$B$9,0)-Settings!$B$13-Settings!$B$12)-N(L50))</f>
        <v/>
      </c>
      <c r="AH50" s="41" t="str">
        <f aca="false">IF(OR(K50="",G50=""),"",(J50+V50+Settings!$B$15)/(1-(1+Settings!$B$10)*(IF(N50="",Settings!$B$5,N50)+IF(M50="",Settings!$B$11,M50))-IF(UPPER(O50)="Y",Settings!$B$9,0)-Settings!$B$13-Settings!$B$12)-N(L50))</f>
        <v/>
      </c>
      <c r="AI50" s="46" t="str">
        <f aca="false">IF(C50="","",IF(OR(ISNUMBER(SEARCH("amazon",C50)),ISNUMBER(SEARCH("walmart",C50)),ISNUMBER(SEARCH("aliexpress",C50)),ISNUMBER(SEARCH("temu",C50))),"⚠ Retail source — not allowed","✓ Wholesale / own stock"))</f>
        <v/>
      </c>
      <c r="AJ50" s="47" t="str">
        <f aca="false">IF(OR(K50="",G50=""),"",IF(LEFT(AI50,1)="⚠","❌ SKIP",IF(AND(AC50&gt;=Settings!$B$15,AF50&gt;=Settings!$B$16,OR(R50="",N(R50)&gt;=Settings!$B$17)),"✅ GO",IF(AC50&gt;0,"⚠ CHECK","❌ SKIP"))))</f>
        <v/>
      </c>
      <c r="AK50" s="38"/>
    </row>
    <row r="51" customFormat="false" ht="15" hidden="false" customHeight="false" outlineLevel="0" collapsed="false">
      <c r="A51" s="37" t="str">
        <f aca="false">IF(B51="","",ROW()-4)</f>
        <v/>
      </c>
      <c r="B51" s="38"/>
      <c r="C51" s="39"/>
      <c r="D51" s="38"/>
      <c r="E51" s="38"/>
      <c r="F51" s="38"/>
      <c r="G51" s="40"/>
      <c r="H51" s="40"/>
      <c r="I51" s="40"/>
      <c r="J51" s="41" t="str">
        <f aca="false">IF(G51="","",G51+N(H51)+N(I51))</f>
        <v/>
      </c>
      <c r="K51" s="40"/>
      <c r="L51" s="40"/>
      <c r="M51" s="42"/>
      <c r="N51" s="42"/>
      <c r="O51" s="39"/>
      <c r="P51" s="38"/>
      <c r="Q51" s="38"/>
      <c r="R51" s="43" t="str">
        <f aca="false">IF(OR(P51="",Q51=""),"",P51/(P51+Q51))</f>
        <v/>
      </c>
      <c r="S51" s="41" t="str">
        <f aca="false">IF(OR(K51="",G51=""),"",K51+N(L51))</f>
        <v/>
      </c>
      <c r="T51" s="41" t="str">
        <f aca="false">IF(OR(K51="",G51=""),"",S51*Settings!$B$10)</f>
        <v/>
      </c>
      <c r="U51" s="41" t="str">
        <f aca="false">IF(OR(K51="",G51=""),"",(S51+T51)*IF(N51="",Settings!$B$5,N51))</f>
        <v/>
      </c>
      <c r="V51" s="41" t="str">
        <f aca="false">IF(OR(K51="",G51=""),"",IF(S51+T51&lt;=Settings!$B$8,Settings!$B$6,Settings!$B$7))</f>
        <v/>
      </c>
      <c r="W51" s="41" t="str">
        <f aca="false">IF(OR(K51="",G51=""),"",S51*IF(UPPER(O51)="Y",Settings!$B$9,0))</f>
        <v/>
      </c>
      <c r="X51" s="41" t="str">
        <f aca="false">IF(OR(K51="",G51=""),"",(S51+T51)*IF(M51="",Settings!$B$11,M51))</f>
        <v/>
      </c>
      <c r="Y51" s="41" t="str">
        <f aca="false">IF(OR(K51="",G51=""),"",U51+V51+W51+X51)</f>
        <v/>
      </c>
      <c r="Z51" s="41" t="str">
        <f aca="false">IF(OR(K51="",G51=""),"",S51-Y51)</f>
        <v/>
      </c>
      <c r="AA51" s="41" t="str">
        <f aca="false">IF(OR(K51="",G51=""),"",Z51*Settings!$B$12)</f>
        <v/>
      </c>
      <c r="AB51" s="41" t="str">
        <f aca="false">IF(OR(K51="",G51=""),"",S51*Settings!$B$13)</f>
        <v/>
      </c>
      <c r="AC51" s="44" t="str">
        <f aca="false">IF(OR(K51="",G51=""),"",Z51-AA51-AB51-J51)</f>
        <v/>
      </c>
      <c r="AD51" s="45" t="str">
        <f aca="false">IF(OR(K51="",G51=""),"",AC51*Settings!$B$14)</f>
        <v/>
      </c>
      <c r="AE51" s="43" t="str">
        <f aca="false">IF(OR(K51="",G51=""),"",IF(S51=0,"",AC51/S51))</f>
        <v/>
      </c>
      <c r="AF51" s="43" t="str">
        <f aca="false">IF(OR(K51="",G51=""),"",IF(J51=0,"",AC51/J51))</f>
        <v/>
      </c>
      <c r="AG51" s="41" t="str">
        <f aca="false">IF(OR(K51="",G51=""),"",(J51+V51)/(1-(1+Settings!$B$10)*(IF(N51="",Settings!$B$5,N51)+IF(M51="",Settings!$B$11,M51))-IF(UPPER(O51)="Y",Settings!$B$9,0)-Settings!$B$13-Settings!$B$12)-N(L51))</f>
        <v/>
      </c>
      <c r="AH51" s="41" t="str">
        <f aca="false">IF(OR(K51="",G51=""),"",(J51+V51+Settings!$B$15)/(1-(1+Settings!$B$10)*(IF(N51="",Settings!$B$5,N51)+IF(M51="",Settings!$B$11,M51))-IF(UPPER(O51)="Y",Settings!$B$9,0)-Settings!$B$13-Settings!$B$12)-N(L51))</f>
        <v/>
      </c>
      <c r="AI51" s="46" t="str">
        <f aca="false">IF(C51="","",IF(OR(ISNUMBER(SEARCH("amazon",C51)),ISNUMBER(SEARCH("walmart",C51)),ISNUMBER(SEARCH("aliexpress",C51)),ISNUMBER(SEARCH("temu",C51))),"⚠ Retail source — not allowed","✓ Wholesale / own stock"))</f>
        <v/>
      </c>
      <c r="AJ51" s="47" t="str">
        <f aca="false">IF(OR(K51="",G51=""),"",IF(LEFT(AI51,1)="⚠","❌ SKIP",IF(AND(AC51&gt;=Settings!$B$15,AF51&gt;=Settings!$B$16,OR(R51="",N(R51)&gt;=Settings!$B$17)),"✅ GO",IF(AC51&gt;0,"⚠ CHECK","❌ SKIP"))))</f>
        <v/>
      </c>
      <c r="AK51" s="38"/>
    </row>
    <row r="52" customFormat="false" ht="15" hidden="false" customHeight="false" outlineLevel="0" collapsed="false">
      <c r="A52" s="37" t="str">
        <f aca="false">IF(B52="","",ROW()-4)</f>
        <v/>
      </c>
      <c r="B52" s="38"/>
      <c r="C52" s="39"/>
      <c r="D52" s="38"/>
      <c r="E52" s="38"/>
      <c r="F52" s="38"/>
      <c r="G52" s="40"/>
      <c r="H52" s="40"/>
      <c r="I52" s="40"/>
      <c r="J52" s="41" t="str">
        <f aca="false">IF(G52="","",G52+N(H52)+N(I52))</f>
        <v/>
      </c>
      <c r="K52" s="40"/>
      <c r="L52" s="40"/>
      <c r="M52" s="42"/>
      <c r="N52" s="42"/>
      <c r="O52" s="39"/>
      <c r="P52" s="38"/>
      <c r="Q52" s="38"/>
      <c r="R52" s="43" t="str">
        <f aca="false">IF(OR(P52="",Q52=""),"",P52/(P52+Q52))</f>
        <v/>
      </c>
      <c r="S52" s="41" t="str">
        <f aca="false">IF(OR(K52="",G52=""),"",K52+N(L52))</f>
        <v/>
      </c>
      <c r="T52" s="41" t="str">
        <f aca="false">IF(OR(K52="",G52=""),"",S52*Settings!$B$10)</f>
        <v/>
      </c>
      <c r="U52" s="41" t="str">
        <f aca="false">IF(OR(K52="",G52=""),"",(S52+T52)*IF(N52="",Settings!$B$5,N52))</f>
        <v/>
      </c>
      <c r="V52" s="41" t="str">
        <f aca="false">IF(OR(K52="",G52=""),"",IF(S52+T52&lt;=Settings!$B$8,Settings!$B$6,Settings!$B$7))</f>
        <v/>
      </c>
      <c r="W52" s="41" t="str">
        <f aca="false">IF(OR(K52="",G52=""),"",S52*IF(UPPER(O52)="Y",Settings!$B$9,0))</f>
        <v/>
      </c>
      <c r="X52" s="41" t="str">
        <f aca="false">IF(OR(K52="",G52=""),"",(S52+T52)*IF(M52="",Settings!$B$11,M52))</f>
        <v/>
      </c>
      <c r="Y52" s="41" t="str">
        <f aca="false">IF(OR(K52="",G52=""),"",U52+V52+W52+X52)</f>
        <v/>
      </c>
      <c r="Z52" s="41" t="str">
        <f aca="false">IF(OR(K52="",G52=""),"",S52-Y52)</f>
        <v/>
      </c>
      <c r="AA52" s="41" t="str">
        <f aca="false">IF(OR(K52="",G52=""),"",Z52*Settings!$B$12)</f>
        <v/>
      </c>
      <c r="AB52" s="41" t="str">
        <f aca="false">IF(OR(K52="",G52=""),"",S52*Settings!$B$13)</f>
        <v/>
      </c>
      <c r="AC52" s="44" t="str">
        <f aca="false">IF(OR(K52="",G52=""),"",Z52-AA52-AB52-J52)</f>
        <v/>
      </c>
      <c r="AD52" s="45" t="str">
        <f aca="false">IF(OR(K52="",G52=""),"",AC52*Settings!$B$14)</f>
        <v/>
      </c>
      <c r="AE52" s="43" t="str">
        <f aca="false">IF(OR(K52="",G52=""),"",IF(S52=0,"",AC52/S52))</f>
        <v/>
      </c>
      <c r="AF52" s="43" t="str">
        <f aca="false">IF(OR(K52="",G52=""),"",IF(J52=0,"",AC52/J52))</f>
        <v/>
      </c>
      <c r="AG52" s="41" t="str">
        <f aca="false">IF(OR(K52="",G52=""),"",(J52+V52)/(1-(1+Settings!$B$10)*(IF(N52="",Settings!$B$5,N52)+IF(M52="",Settings!$B$11,M52))-IF(UPPER(O52)="Y",Settings!$B$9,0)-Settings!$B$13-Settings!$B$12)-N(L52))</f>
        <v/>
      </c>
      <c r="AH52" s="41" t="str">
        <f aca="false">IF(OR(K52="",G52=""),"",(J52+V52+Settings!$B$15)/(1-(1+Settings!$B$10)*(IF(N52="",Settings!$B$5,N52)+IF(M52="",Settings!$B$11,M52))-IF(UPPER(O52)="Y",Settings!$B$9,0)-Settings!$B$13-Settings!$B$12)-N(L52))</f>
        <v/>
      </c>
      <c r="AI52" s="46" t="str">
        <f aca="false">IF(C52="","",IF(OR(ISNUMBER(SEARCH("amazon",C52)),ISNUMBER(SEARCH("walmart",C52)),ISNUMBER(SEARCH("aliexpress",C52)),ISNUMBER(SEARCH("temu",C52))),"⚠ Retail source — not allowed","✓ Wholesale / own stock"))</f>
        <v/>
      </c>
      <c r="AJ52" s="47" t="str">
        <f aca="false">IF(OR(K52="",G52=""),"",IF(LEFT(AI52,1)="⚠","❌ SKIP",IF(AND(AC52&gt;=Settings!$B$15,AF52&gt;=Settings!$B$16,OR(R52="",N(R52)&gt;=Settings!$B$17)),"✅ GO",IF(AC52&gt;0,"⚠ CHECK","❌ SKIP"))))</f>
        <v/>
      </c>
      <c r="AK52" s="38"/>
    </row>
    <row r="53" customFormat="false" ht="15" hidden="false" customHeight="false" outlineLevel="0" collapsed="false">
      <c r="A53" s="37" t="str">
        <f aca="false">IF(B53="","",ROW()-4)</f>
        <v/>
      </c>
      <c r="B53" s="38"/>
      <c r="C53" s="39"/>
      <c r="D53" s="38"/>
      <c r="E53" s="38"/>
      <c r="F53" s="38"/>
      <c r="G53" s="40"/>
      <c r="H53" s="40"/>
      <c r="I53" s="40"/>
      <c r="J53" s="41" t="str">
        <f aca="false">IF(G53="","",G53+N(H53)+N(I53))</f>
        <v/>
      </c>
      <c r="K53" s="40"/>
      <c r="L53" s="40"/>
      <c r="M53" s="42"/>
      <c r="N53" s="42"/>
      <c r="O53" s="39"/>
      <c r="P53" s="38"/>
      <c r="Q53" s="38"/>
      <c r="R53" s="43" t="str">
        <f aca="false">IF(OR(P53="",Q53=""),"",P53/(P53+Q53))</f>
        <v/>
      </c>
      <c r="S53" s="41" t="str">
        <f aca="false">IF(OR(K53="",G53=""),"",K53+N(L53))</f>
        <v/>
      </c>
      <c r="T53" s="41" t="str">
        <f aca="false">IF(OR(K53="",G53=""),"",S53*Settings!$B$10)</f>
        <v/>
      </c>
      <c r="U53" s="41" t="str">
        <f aca="false">IF(OR(K53="",G53=""),"",(S53+T53)*IF(N53="",Settings!$B$5,N53))</f>
        <v/>
      </c>
      <c r="V53" s="41" t="str">
        <f aca="false">IF(OR(K53="",G53=""),"",IF(S53+T53&lt;=Settings!$B$8,Settings!$B$6,Settings!$B$7))</f>
        <v/>
      </c>
      <c r="W53" s="41" t="str">
        <f aca="false">IF(OR(K53="",G53=""),"",S53*IF(UPPER(O53)="Y",Settings!$B$9,0))</f>
        <v/>
      </c>
      <c r="X53" s="41" t="str">
        <f aca="false">IF(OR(K53="",G53=""),"",(S53+T53)*IF(M53="",Settings!$B$11,M53))</f>
        <v/>
      </c>
      <c r="Y53" s="41" t="str">
        <f aca="false">IF(OR(K53="",G53=""),"",U53+V53+W53+X53)</f>
        <v/>
      </c>
      <c r="Z53" s="41" t="str">
        <f aca="false">IF(OR(K53="",G53=""),"",S53-Y53)</f>
        <v/>
      </c>
      <c r="AA53" s="41" t="str">
        <f aca="false">IF(OR(K53="",G53=""),"",Z53*Settings!$B$12)</f>
        <v/>
      </c>
      <c r="AB53" s="41" t="str">
        <f aca="false">IF(OR(K53="",G53=""),"",S53*Settings!$B$13)</f>
        <v/>
      </c>
      <c r="AC53" s="44" t="str">
        <f aca="false">IF(OR(K53="",G53=""),"",Z53-AA53-AB53-J53)</f>
        <v/>
      </c>
      <c r="AD53" s="45" t="str">
        <f aca="false">IF(OR(K53="",G53=""),"",AC53*Settings!$B$14)</f>
        <v/>
      </c>
      <c r="AE53" s="43" t="str">
        <f aca="false">IF(OR(K53="",G53=""),"",IF(S53=0,"",AC53/S53))</f>
        <v/>
      </c>
      <c r="AF53" s="43" t="str">
        <f aca="false">IF(OR(K53="",G53=""),"",IF(J53=0,"",AC53/J53))</f>
        <v/>
      </c>
      <c r="AG53" s="41" t="str">
        <f aca="false">IF(OR(K53="",G53=""),"",(J53+V53)/(1-(1+Settings!$B$10)*(IF(N53="",Settings!$B$5,N53)+IF(M53="",Settings!$B$11,M53))-IF(UPPER(O53)="Y",Settings!$B$9,0)-Settings!$B$13-Settings!$B$12)-N(L53))</f>
        <v/>
      </c>
      <c r="AH53" s="41" t="str">
        <f aca="false">IF(OR(K53="",G53=""),"",(J53+V53+Settings!$B$15)/(1-(1+Settings!$B$10)*(IF(N53="",Settings!$B$5,N53)+IF(M53="",Settings!$B$11,M53))-IF(UPPER(O53)="Y",Settings!$B$9,0)-Settings!$B$13-Settings!$B$12)-N(L53))</f>
        <v/>
      </c>
      <c r="AI53" s="46" t="str">
        <f aca="false">IF(C53="","",IF(OR(ISNUMBER(SEARCH("amazon",C53)),ISNUMBER(SEARCH("walmart",C53)),ISNUMBER(SEARCH("aliexpress",C53)),ISNUMBER(SEARCH("temu",C53))),"⚠ Retail source — not allowed","✓ Wholesale / own stock"))</f>
        <v/>
      </c>
      <c r="AJ53" s="47" t="str">
        <f aca="false">IF(OR(K53="",G53=""),"",IF(LEFT(AI53,1)="⚠","❌ SKIP",IF(AND(AC53&gt;=Settings!$B$15,AF53&gt;=Settings!$B$16,OR(R53="",N(R53)&gt;=Settings!$B$17)),"✅ GO",IF(AC53&gt;0,"⚠ CHECK","❌ SKIP"))))</f>
        <v/>
      </c>
      <c r="AK53" s="38"/>
    </row>
    <row r="54" customFormat="false" ht="15" hidden="false" customHeight="false" outlineLevel="0" collapsed="false">
      <c r="A54" s="37" t="str">
        <f aca="false">IF(B54="","",ROW()-4)</f>
        <v/>
      </c>
      <c r="B54" s="38"/>
      <c r="C54" s="39"/>
      <c r="D54" s="38"/>
      <c r="E54" s="38"/>
      <c r="F54" s="38"/>
      <c r="G54" s="40"/>
      <c r="H54" s="40"/>
      <c r="I54" s="40"/>
      <c r="J54" s="41" t="str">
        <f aca="false">IF(G54="","",G54+N(H54)+N(I54))</f>
        <v/>
      </c>
      <c r="K54" s="40"/>
      <c r="L54" s="40"/>
      <c r="M54" s="42"/>
      <c r="N54" s="42"/>
      <c r="O54" s="39"/>
      <c r="P54" s="38"/>
      <c r="Q54" s="38"/>
      <c r="R54" s="43" t="str">
        <f aca="false">IF(OR(P54="",Q54=""),"",P54/(P54+Q54))</f>
        <v/>
      </c>
      <c r="S54" s="41" t="str">
        <f aca="false">IF(OR(K54="",G54=""),"",K54+N(L54))</f>
        <v/>
      </c>
      <c r="T54" s="41" t="str">
        <f aca="false">IF(OR(K54="",G54=""),"",S54*Settings!$B$10)</f>
        <v/>
      </c>
      <c r="U54" s="41" t="str">
        <f aca="false">IF(OR(K54="",G54=""),"",(S54+T54)*IF(N54="",Settings!$B$5,N54))</f>
        <v/>
      </c>
      <c r="V54" s="41" t="str">
        <f aca="false">IF(OR(K54="",G54=""),"",IF(S54+T54&lt;=Settings!$B$8,Settings!$B$6,Settings!$B$7))</f>
        <v/>
      </c>
      <c r="W54" s="41" t="str">
        <f aca="false">IF(OR(K54="",G54=""),"",S54*IF(UPPER(O54)="Y",Settings!$B$9,0))</f>
        <v/>
      </c>
      <c r="X54" s="41" t="str">
        <f aca="false">IF(OR(K54="",G54=""),"",(S54+T54)*IF(M54="",Settings!$B$11,M54))</f>
        <v/>
      </c>
      <c r="Y54" s="41" t="str">
        <f aca="false">IF(OR(K54="",G54=""),"",U54+V54+W54+X54)</f>
        <v/>
      </c>
      <c r="Z54" s="41" t="str">
        <f aca="false">IF(OR(K54="",G54=""),"",S54-Y54)</f>
        <v/>
      </c>
      <c r="AA54" s="41" t="str">
        <f aca="false">IF(OR(K54="",G54=""),"",Z54*Settings!$B$12)</f>
        <v/>
      </c>
      <c r="AB54" s="41" t="str">
        <f aca="false">IF(OR(K54="",G54=""),"",S54*Settings!$B$13)</f>
        <v/>
      </c>
      <c r="AC54" s="44" t="str">
        <f aca="false">IF(OR(K54="",G54=""),"",Z54-AA54-AB54-J54)</f>
        <v/>
      </c>
      <c r="AD54" s="45" t="str">
        <f aca="false">IF(OR(K54="",G54=""),"",AC54*Settings!$B$14)</f>
        <v/>
      </c>
      <c r="AE54" s="43" t="str">
        <f aca="false">IF(OR(K54="",G54=""),"",IF(S54=0,"",AC54/S54))</f>
        <v/>
      </c>
      <c r="AF54" s="43" t="str">
        <f aca="false">IF(OR(K54="",G54=""),"",IF(J54=0,"",AC54/J54))</f>
        <v/>
      </c>
      <c r="AG54" s="41" t="str">
        <f aca="false">IF(OR(K54="",G54=""),"",(J54+V54)/(1-(1+Settings!$B$10)*(IF(N54="",Settings!$B$5,N54)+IF(M54="",Settings!$B$11,M54))-IF(UPPER(O54)="Y",Settings!$B$9,0)-Settings!$B$13-Settings!$B$12)-N(L54))</f>
        <v/>
      </c>
      <c r="AH54" s="41" t="str">
        <f aca="false">IF(OR(K54="",G54=""),"",(J54+V54+Settings!$B$15)/(1-(1+Settings!$B$10)*(IF(N54="",Settings!$B$5,N54)+IF(M54="",Settings!$B$11,M54))-IF(UPPER(O54)="Y",Settings!$B$9,0)-Settings!$B$13-Settings!$B$12)-N(L54))</f>
        <v/>
      </c>
      <c r="AI54" s="46" t="str">
        <f aca="false">IF(C54="","",IF(OR(ISNUMBER(SEARCH("amazon",C54)),ISNUMBER(SEARCH("walmart",C54)),ISNUMBER(SEARCH("aliexpress",C54)),ISNUMBER(SEARCH("temu",C54))),"⚠ Retail source — not allowed","✓ Wholesale / own stock"))</f>
        <v/>
      </c>
      <c r="AJ54" s="47" t="str">
        <f aca="false">IF(OR(K54="",G54=""),"",IF(LEFT(AI54,1)="⚠","❌ SKIP",IF(AND(AC54&gt;=Settings!$B$15,AF54&gt;=Settings!$B$16,OR(R54="",N(R54)&gt;=Settings!$B$17)),"✅ GO",IF(AC54&gt;0,"⚠ CHECK","❌ SKIP"))))</f>
        <v/>
      </c>
      <c r="AK54" s="38"/>
    </row>
    <row r="55" customFormat="false" ht="15" hidden="false" customHeight="false" outlineLevel="0" collapsed="false">
      <c r="A55" s="37" t="str">
        <f aca="false">IF(B55="","",ROW()-4)</f>
        <v/>
      </c>
      <c r="B55" s="38"/>
      <c r="C55" s="39"/>
      <c r="D55" s="38"/>
      <c r="E55" s="38"/>
      <c r="F55" s="38"/>
      <c r="G55" s="40"/>
      <c r="H55" s="40"/>
      <c r="I55" s="40"/>
      <c r="J55" s="41" t="str">
        <f aca="false">IF(G55="","",G55+N(H55)+N(I55))</f>
        <v/>
      </c>
      <c r="K55" s="40"/>
      <c r="L55" s="40"/>
      <c r="M55" s="42"/>
      <c r="N55" s="42"/>
      <c r="O55" s="39"/>
      <c r="P55" s="38"/>
      <c r="Q55" s="38"/>
      <c r="R55" s="43" t="str">
        <f aca="false">IF(OR(P55="",Q55=""),"",P55/(P55+Q55))</f>
        <v/>
      </c>
      <c r="S55" s="41" t="str">
        <f aca="false">IF(OR(K55="",G55=""),"",K55+N(L55))</f>
        <v/>
      </c>
      <c r="T55" s="41" t="str">
        <f aca="false">IF(OR(K55="",G55=""),"",S55*Settings!$B$10)</f>
        <v/>
      </c>
      <c r="U55" s="41" t="str">
        <f aca="false">IF(OR(K55="",G55=""),"",(S55+T55)*IF(N55="",Settings!$B$5,N55))</f>
        <v/>
      </c>
      <c r="V55" s="41" t="str">
        <f aca="false">IF(OR(K55="",G55=""),"",IF(S55+T55&lt;=Settings!$B$8,Settings!$B$6,Settings!$B$7))</f>
        <v/>
      </c>
      <c r="W55" s="41" t="str">
        <f aca="false">IF(OR(K55="",G55=""),"",S55*IF(UPPER(O55)="Y",Settings!$B$9,0))</f>
        <v/>
      </c>
      <c r="X55" s="41" t="str">
        <f aca="false">IF(OR(K55="",G55=""),"",(S55+T55)*IF(M55="",Settings!$B$11,M55))</f>
        <v/>
      </c>
      <c r="Y55" s="41" t="str">
        <f aca="false">IF(OR(K55="",G55=""),"",U55+V55+W55+X55)</f>
        <v/>
      </c>
      <c r="Z55" s="41" t="str">
        <f aca="false">IF(OR(K55="",G55=""),"",S55-Y55)</f>
        <v/>
      </c>
      <c r="AA55" s="41" t="str">
        <f aca="false">IF(OR(K55="",G55=""),"",Z55*Settings!$B$12)</f>
        <v/>
      </c>
      <c r="AB55" s="41" t="str">
        <f aca="false">IF(OR(K55="",G55=""),"",S55*Settings!$B$13)</f>
        <v/>
      </c>
      <c r="AC55" s="44" t="str">
        <f aca="false">IF(OR(K55="",G55=""),"",Z55-AA55-AB55-J55)</f>
        <v/>
      </c>
      <c r="AD55" s="45" t="str">
        <f aca="false">IF(OR(K55="",G55=""),"",AC55*Settings!$B$14)</f>
        <v/>
      </c>
      <c r="AE55" s="43" t="str">
        <f aca="false">IF(OR(K55="",G55=""),"",IF(S55=0,"",AC55/S55))</f>
        <v/>
      </c>
      <c r="AF55" s="43" t="str">
        <f aca="false">IF(OR(K55="",G55=""),"",IF(J55=0,"",AC55/J55))</f>
        <v/>
      </c>
      <c r="AG55" s="41" t="str">
        <f aca="false">IF(OR(K55="",G55=""),"",(J55+V55)/(1-(1+Settings!$B$10)*(IF(N55="",Settings!$B$5,N55)+IF(M55="",Settings!$B$11,M55))-IF(UPPER(O55)="Y",Settings!$B$9,0)-Settings!$B$13-Settings!$B$12)-N(L55))</f>
        <v/>
      </c>
      <c r="AH55" s="41" t="str">
        <f aca="false">IF(OR(K55="",G55=""),"",(J55+V55+Settings!$B$15)/(1-(1+Settings!$B$10)*(IF(N55="",Settings!$B$5,N55)+IF(M55="",Settings!$B$11,M55))-IF(UPPER(O55)="Y",Settings!$B$9,0)-Settings!$B$13-Settings!$B$12)-N(L55))</f>
        <v/>
      </c>
      <c r="AI55" s="46" t="str">
        <f aca="false">IF(C55="","",IF(OR(ISNUMBER(SEARCH("amazon",C55)),ISNUMBER(SEARCH("walmart",C55)),ISNUMBER(SEARCH("aliexpress",C55)),ISNUMBER(SEARCH("temu",C55))),"⚠ Retail source — not allowed","✓ Wholesale / own stock"))</f>
        <v/>
      </c>
      <c r="AJ55" s="47" t="str">
        <f aca="false">IF(OR(K55="",G55=""),"",IF(LEFT(AI55,1)="⚠","❌ SKIP",IF(AND(AC55&gt;=Settings!$B$15,AF55&gt;=Settings!$B$16,OR(R55="",N(R55)&gt;=Settings!$B$17)),"✅ GO",IF(AC55&gt;0,"⚠ CHECK","❌ SKIP"))))</f>
        <v/>
      </c>
      <c r="AK55" s="38"/>
    </row>
    <row r="56" customFormat="false" ht="15" hidden="false" customHeight="false" outlineLevel="0" collapsed="false">
      <c r="A56" s="37" t="str">
        <f aca="false">IF(B56="","",ROW()-4)</f>
        <v/>
      </c>
      <c r="B56" s="38"/>
      <c r="C56" s="39"/>
      <c r="D56" s="38"/>
      <c r="E56" s="38"/>
      <c r="F56" s="38"/>
      <c r="G56" s="40"/>
      <c r="H56" s="40"/>
      <c r="I56" s="40"/>
      <c r="J56" s="41" t="str">
        <f aca="false">IF(G56="","",G56+N(H56)+N(I56))</f>
        <v/>
      </c>
      <c r="K56" s="40"/>
      <c r="L56" s="40"/>
      <c r="M56" s="42"/>
      <c r="N56" s="42"/>
      <c r="O56" s="39"/>
      <c r="P56" s="38"/>
      <c r="Q56" s="38"/>
      <c r="R56" s="43" t="str">
        <f aca="false">IF(OR(P56="",Q56=""),"",P56/(P56+Q56))</f>
        <v/>
      </c>
      <c r="S56" s="41" t="str">
        <f aca="false">IF(OR(K56="",G56=""),"",K56+N(L56))</f>
        <v/>
      </c>
      <c r="T56" s="41" t="str">
        <f aca="false">IF(OR(K56="",G56=""),"",S56*Settings!$B$10)</f>
        <v/>
      </c>
      <c r="U56" s="41" t="str">
        <f aca="false">IF(OR(K56="",G56=""),"",(S56+T56)*IF(N56="",Settings!$B$5,N56))</f>
        <v/>
      </c>
      <c r="V56" s="41" t="str">
        <f aca="false">IF(OR(K56="",G56=""),"",IF(S56+T56&lt;=Settings!$B$8,Settings!$B$6,Settings!$B$7))</f>
        <v/>
      </c>
      <c r="W56" s="41" t="str">
        <f aca="false">IF(OR(K56="",G56=""),"",S56*IF(UPPER(O56)="Y",Settings!$B$9,0))</f>
        <v/>
      </c>
      <c r="X56" s="41" t="str">
        <f aca="false">IF(OR(K56="",G56=""),"",(S56+T56)*IF(M56="",Settings!$B$11,M56))</f>
        <v/>
      </c>
      <c r="Y56" s="41" t="str">
        <f aca="false">IF(OR(K56="",G56=""),"",U56+V56+W56+X56)</f>
        <v/>
      </c>
      <c r="Z56" s="41" t="str">
        <f aca="false">IF(OR(K56="",G56=""),"",S56-Y56)</f>
        <v/>
      </c>
      <c r="AA56" s="41" t="str">
        <f aca="false">IF(OR(K56="",G56=""),"",Z56*Settings!$B$12)</f>
        <v/>
      </c>
      <c r="AB56" s="41" t="str">
        <f aca="false">IF(OR(K56="",G56=""),"",S56*Settings!$B$13)</f>
        <v/>
      </c>
      <c r="AC56" s="44" t="str">
        <f aca="false">IF(OR(K56="",G56=""),"",Z56-AA56-AB56-J56)</f>
        <v/>
      </c>
      <c r="AD56" s="45" t="str">
        <f aca="false">IF(OR(K56="",G56=""),"",AC56*Settings!$B$14)</f>
        <v/>
      </c>
      <c r="AE56" s="43" t="str">
        <f aca="false">IF(OR(K56="",G56=""),"",IF(S56=0,"",AC56/S56))</f>
        <v/>
      </c>
      <c r="AF56" s="43" t="str">
        <f aca="false">IF(OR(K56="",G56=""),"",IF(J56=0,"",AC56/J56))</f>
        <v/>
      </c>
      <c r="AG56" s="41" t="str">
        <f aca="false">IF(OR(K56="",G56=""),"",(J56+V56)/(1-(1+Settings!$B$10)*(IF(N56="",Settings!$B$5,N56)+IF(M56="",Settings!$B$11,M56))-IF(UPPER(O56)="Y",Settings!$B$9,0)-Settings!$B$13-Settings!$B$12)-N(L56))</f>
        <v/>
      </c>
      <c r="AH56" s="41" t="str">
        <f aca="false">IF(OR(K56="",G56=""),"",(J56+V56+Settings!$B$15)/(1-(1+Settings!$B$10)*(IF(N56="",Settings!$B$5,N56)+IF(M56="",Settings!$B$11,M56))-IF(UPPER(O56)="Y",Settings!$B$9,0)-Settings!$B$13-Settings!$B$12)-N(L56))</f>
        <v/>
      </c>
      <c r="AI56" s="46" t="str">
        <f aca="false">IF(C56="","",IF(OR(ISNUMBER(SEARCH("amazon",C56)),ISNUMBER(SEARCH("walmart",C56)),ISNUMBER(SEARCH("aliexpress",C56)),ISNUMBER(SEARCH("temu",C56))),"⚠ Retail source — not allowed","✓ Wholesale / own stock"))</f>
        <v/>
      </c>
      <c r="AJ56" s="47" t="str">
        <f aca="false">IF(OR(K56="",G56=""),"",IF(LEFT(AI56,1)="⚠","❌ SKIP",IF(AND(AC56&gt;=Settings!$B$15,AF56&gt;=Settings!$B$16,OR(R56="",N(R56)&gt;=Settings!$B$17)),"✅ GO",IF(AC56&gt;0,"⚠ CHECK","❌ SKIP"))))</f>
        <v/>
      </c>
      <c r="AK56" s="38"/>
    </row>
    <row r="57" customFormat="false" ht="15" hidden="false" customHeight="false" outlineLevel="0" collapsed="false">
      <c r="A57" s="37" t="str">
        <f aca="false">IF(B57="","",ROW()-4)</f>
        <v/>
      </c>
      <c r="B57" s="38"/>
      <c r="C57" s="39"/>
      <c r="D57" s="38"/>
      <c r="E57" s="38"/>
      <c r="F57" s="38"/>
      <c r="G57" s="40"/>
      <c r="H57" s="40"/>
      <c r="I57" s="40"/>
      <c r="J57" s="41" t="str">
        <f aca="false">IF(G57="","",G57+N(H57)+N(I57))</f>
        <v/>
      </c>
      <c r="K57" s="40"/>
      <c r="L57" s="40"/>
      <c r="M57" s="42"/>
      <c r="N57" s="42"/>
      <c r="O57" s="39"/>
      <c r="P57" s="38"/>
      <c r="Q57" s="38"/>
      <c r="R57" s="43" t="str">
        <f aca="false">IF(OR(P57="",Q57=""),"",P57/(P57+Q57))</f>
        <v/>
      </c>
      <c r="S57" s="41" t="str">
        <f aca="false">IF(OR(K57="",G57=""),"",K57+N(L57))</f>
        <v/>
      </c>
      <c r="T57" s="41" t="str">
        <f aca="false">IF(OR(K57="",G57=""),"",S57*Settings!$B$10)</f>
        <v/>
      </c>
      <c r="U57" s="41" t="str">
        <f aca="false">IF(OR(K57="",G57=""),"",(S57+T57)*IF(N57="",Settings!$B$5,N57))</f>
        <v/>
      </c>
      <c r="V57" s="41" t="str">
        <f aca="false">IF(OR(K57="",G57=""),"",IF(S57+T57&lt;=Settings!$B$8,Settings!$B$6,Settings!$B$7))</f>
        <v/>
      </c>
      <c r="W57" s="41" t="str">
        <f aca="false">IF(OR(K57="",G57=""),"",S57*IF(UPPER(O57)="Y",Settings!$B$9,0))</f>
        <v/>
      </c>
      <c r="X57" s="41" t="str">
        <f aca="false">IF(OR(K57="",G57=""),"",(S57+T57)*IF(M57="",Settings!$B$11,M57))</f>
        <v/>
      </c>
      <c r="Y57" s="41" t="str">
        <f aca="false">IF(OR(K57="",G57=""),"",U57+V57+W57+X57)</f>
        <v/>
      </c>
      <c r="Z57" s="41" t="str">
        <f aca="false">IF(OR(K57="",G57=""),"",S57-Y57)</f>
        <v/>
      </c>
      <c r="AA57" s="41" t="str">
        <f aca="false">IF(OR(K57="",G57=""),"",Z57*Settings!$B$12)</f>
        <v/>
      </c>
      <c r="AB57" s="41" t="str">
        <f aca="false">IF(OR(K57="",G57=""),"",S57*Settings!$B$13)</f>
        <v/>
      </c>
      <c r="AC57" s="44" t="str">
        <f aca="false">IF(OR(K57="",G57=""),"",Z57-AA57-AB57-J57)</f>
        <v/>
      </c>
      <c r="AD57" s="45" t="str">
        <f aca="false">IF(OR(K57="",G57=""),"",AC57*Settings!$B$14)</f>
        <v/>
      </c>
      <c r="AE57" s="43" t="str">
        <f aca="false">IF(OR(K57="",G57=""),"",IF(S57=0,"",AC57/S57))</f>
        <v/>
      </c>
      <c r="AF57" s="43" t="str">
        <f aca="false">IF(OR(K57="",G57=""),"",IF(J57=0,"",AC57/J57))</f>
        <v/>
      </c>
      <c r="AG57" s="41" t="str">
        <f aca="false">IF(OR(K57="",G57=""),"",(J57+V57)/(1-(1+Settings!$B$10)*(IF(N57="",Settings!$B$5,N57)+IF(M57="",Settings!$B$11,M57))-IF(UPPER(O57)="Y",Settings!$B$9,0)-Settings!$B$13-Settings!$B$12)-N(L57))</f>
        <v/>
      </c>
      <c r="AH57" s="41" t="str">
        <f aca="false">IF(OR(K57="",G57=""),"",(J57+V57+Settings!$B$15)/(1-(1+Settings!$B$10)*(IF(N57="",Settings!$B$5,N57)+IF(M57="",Settings!$B$11,M57))-IF(UPPER(O57)="Y",Settings!$B$9,0)-Settings!$B$13-Settings!$B$12)-N(L57))</f>
        <v/>
      </c>
      <c r="AI57" s="46" t="str">
        <f aca="false">IF(C57="","",IF(OR(ISNUMBER(SEARCH("amazon",C57)),ISNUMBER(SEARCH("walmart",C57)),ISNUMBER(SEARCH("aliexpress",C57)),ISNUMBER(SEARCH("temu",C57))),"⚠ Retail source — not allowed","✓ Wholesale / own stock"))</f>
        <v/>
      </c>
      <c r="AJ57" s="47" t="str">
        <f aca="false">IF(OR(K57="",G57=""),"",IF(LEFT(AI57,1)="⚠","❌ SKIP",IF(AND(AC57&gt;=Settings!$B$15,AF57&gt;=Settings!$B$16,OR(R57="",N(R57)&gt;=Settings!$B$17)),"✅ GO",IF(AC57&gt;0,"⚠ CHECK","❌ SKIP"))))</f>
        <v/>
      </c>
      <c r="AK57" s="38"/>
    </row>
    <row r="58" customFormat="false" ht="15" hidden="false" customHeight="false" outlineLevel="0" collapsed="false">
      <c r="A58" s="37" t="str">
        <f aca="false">IF(B58="","",ROW()-4)</f>
        <v/>
      </c>
      <c r="B58" s="38"/>
      <c r="C58" s="39"/>
      <c r="D58" s="38"/>
      <c r="E58" s="38"/>
      <c r="F58" s="38"/>
      <c r="G58" s="40"/>
      <c r="H58" s="40"/>
      <c r="I58" s="40"/>
      <c r="J58" s="41" t="str">
        <f aca="false">IF(G58="","",G58+N(H58)+N(I58))</f>
        <v/>
      </c>
      <c r="K58" s="40"/>
      <c r="L58" s="40"/>
      <c r="M58" s="42"/>
      <c r="N58" s="42"/>
      <c r="O58" s="39"/>
      <c r="P58" s="38"/>
      <c r="Q58" s="38"/>
      <c r="R58" s="43" t="str">
        <f aca="false">IF(OR(P58="",Q58=""),"",P58/(P58+Q58))</f>
        <v/>
      </c>
      <c r="S58" s="41" t="str">
        <f aca="false">IF(OR(K58="",G58=""),"",K58+N(L58))</f>
        <v/>
      </c>
      <c r="T58" s="41" t="str">
        <f aca="false">IF(OR(K58="",G58=""),"",S58*Settings!$B$10)</f>
        <v/>
      </c>
      <c r="U58" s="41" t="str">
        <f aca="false">IF(OR(K58="",G58=""),"",(S58+T58)*IF(N58="",Settings!$B$5,N58))</f>
        <v/>
      </c>
      <c r="V58" s="41" t="str">
        <f aca="false">IF(OR(K58="",G58=""),"",IF(S58+T58&lt;=Settings!$B$8,Settings!$B$6,Settings!$B$7))</f>
        <v/>
      </c>
      <c r="W58" s="41" t="str">
        <f aca="false">IF(OR(K58="",G58=""),"",S58*IF(UPPER(O58)="Y",Settings!$B$9,0))</f>
        <v/>
      </c>
      <c r="X58" s="41" t="str">
        <f aca="false">IF(OR(K58="",G58=""),"",(S58+T58)*IF(M58="",Settings!$B$11,M58))</f>
        <v/>
      </c>
      <c r="Y58" s="41" t="str">
        <f aca="false">IF(OR(K58="",G58=""),"",U58+V58+W58+X58)</f>
        <v/>
      </c>
      <c r="Z58" s="41" t="str">
        <f aca="false">IF(OR(K58="",G58=""),"",S58-Y58)</f>
        <v/>
      </c>
      <c r="AA58" s="41" t="str">
        <f aca="false">IF(OR(K58="",G58=""),"",Z58*Settings!$B$12)</f>
        <v/>
      </c>
      <c r="AB58" s="41" t="str">
        <f aca="false">IF(OR(K58="",G58=""),"",S58*Settings!$B$13)</f>
        <v/>
      </c>
      <c r="AC58" s="44" t="str">
        <f aca="false">IF(OR(K58="",G58=""),"",Z58-AA58-AB58-J58)</f>
        <v/>
      </c>
      <c r="AD58" s="45" t="str">
        <f aca="false">IF(OR(K58="",G58=""),"",AC58*Settings!$B$14)</f>
        <v/>
      </c>
      <c r="AE58" s="43" t="str">
        <f aca="false">IF(OR(K58="",G58=""),"",IF(S58=0,"",AC58/S58))</f>
        <v/>
      </c>
      <c r="AF58" s="43" t="str">
        <f aca="false">IF(OR(K58="",G58=""),"",IF(J58=0,"",AC58/J58))</f>
        <v/>
      </c>
      <c r="AG58" s="41" t="str">
        <f aca="false">IF(OR(K58="",G58=""),"",(J58+V58)/(1-(1+Settings!$B$10)*(IF(N58="",Settings!$B$5,N58)+IF(M58="",Settings!$B$11,M58))-IF(UPPER(O58)="Y",Settings!$B$9,0)-Settings!$B$13-Settings!$B$12)-N(L58))</f>
        <v/>
      </c>
      <c r="AH58" s="41" t="str">
        <f aca="false">IF(OR(K58="",G58=""),"",(J58+V58+Settings!$B$15)/(1-(1+Settings!$B$10)*(IF(N58="",Settings!$B$5,N58)+IF(M58="",Settings!$B$11,M58))-IF(UPPER(O58)="Y",Settings!$B$9,0)-Settings!$B$13-Settings!$B$12)-N(L58))</f>
        <v/>
      </c>
      <c r="AI58" s="46" t="str">
        <f aca="false">IF(C58="","",IF(OR(ISNUMBER(SEARCH("amazon",C58)),ISNUMBER(SEARCH("walmart",C58)),ISNUMBER(SEARCH("aliexpress",C58)),ISNUMBER(SEARCH("temu",C58))),"⚠ Retail source — not allowed","✓ Wholesale / own stock"))</f>
        <v/>
      </c>
      <c r="AJ58" s="47" t="str">
        <f aca="false">IF(OR(K58="",G58=""),"",IF(LEFT(AI58,1)="⚠","❌ SKIP",IF(AND(AC58&gt;=Settings!$B$15,AF58&gt;=Settings!$B$16,OR(R58="",N(R58)&gt;=Settings!$B$17)),"✅ GO",IF(AC58&gt;0,"⚠ CHECK","❌ SKIP"))))</f>
        <v/>
      </c>
      <c r="AK58" s="38"/>
    </row>
    <row r="59" customFormat="false" ht="15" hidden="false" customHeight="false" outlineLevel="0" collapsed="false">
      <c r="A59" s="37" t="str">
        <f aca="false">IF(B59="","",ROW()-4)</f>
        <v/>
      </c>
      <c r="B59" s="38"/>
      <c r="C59" s="39"/>
      <c r="D59" s="38"/>
      <c r="E59" s="38"/>
      <c r="F59" s="38"/>
      <c r="G59" s="40"/>
      <c r="H59" s="40"/>
      <c r="I59" s="40"/>
      <c r="J59" s="41" t="str">
        <f aca="false">IF(G59="","",G59+N(H59)+N(I59))</f>
        <v/>
      </c>
      <c r="K59" s="40"/>
      <c r="L59" s="40"/>
      <c r="M59" s="42"/>
      <c r="N59" s="42"/>
      <c r="O59" s="39"/>
      <c r="P59" s="38"/>
      <c r="Q59" s="38"/>
      <c r="R59" s="43" t="str">
        <f aca="false">IF(OR(P59="",Q59=""),"",P59/(P59+Q59))</f>
        <v/>
      </c>
      <c r="S59" s="41" t="str">
        <f aca="false">IF(OR(K59="",G59=""),"",K59+N(L59))</f>
        <v/>
      </c>
      <c r="T59" s="41" t="str">
        <f aca="false">IF(OR(K59="",G59=""),"",S59*Settings!$B$10)</f>
        <v/>
      </c>
      <c r="U59" s="41" t="str">
        <f aca="false">IF(OR(K59="",G59=""),"",(S59+T59)*IF(N59="",Settings!$B$5,N59))</f>
        <v/>
      </c>
      <c r="V59" s="41" t="str">
        <f aca="false">IF(OR(K59="",G59=""),"",IF(S59+T59&lt;=Settings!$B$8,Settings!$B$6,Settings!$B$7))</f>
        <v/>
      </c>
      <c r="W59" s="41" t="str">
        <f aca="false">IF(OR(K59="",G59=""),"",S59*IF(UPPER(O59)="Y",Settings!$B$9,0))</f>
        <v/>
      </c>
      <c r="X59" s="41" t="str">
        <f aca="false">IF(OR(K59="",G59=""),"",(S59+T59)*IF(M59="",Settings!$B$11,M59))</f>
        <v/>
      </c>
      <c r="Y59" s="41" t="str">
        <f aca="false">IF(OR(K59="",G59=""),"",U59+V59+W59+X59)</f>
        <v/>
      </c>
      <c r="Z59" s="41" t="str">
        <f aca="false">IF(OR(K59="",G59=""),"",S59-Y59)</f>
        <v/>
      </c>
      <c r="AA59" s="41" t="str">
        <f aca="false">IF(OR(K59="",G59=""),"",Z59*Settings!$B$12)</f>
        <v/>
      </c>
      <c r="AB59" s="41" t="str">
        <f aca="false">IF(OR(K59="",G59=""),"",S59*Settings!$B$13)</f>
        <v/>
      </c>
      <c r="AC59" s="44" t="str">
        <f aca="false">IF(OR(K59="",G59=""),"",Z59-AA59-AB59-J59)</f>
        <v/>
      </c>
      <c r="AD59" s="45" t="str">
        <f aca="false">IF(OR(K59="",G59=""),"",AC59*Settings!$B$14)</f>
        <v/>
      </c>
      <c r="AE59" s="43" t="str">
        <f aca="false">IF(OR(K59="",G59=""),"",IF(S59=0,"",AC59/S59))</f>
        <v/>
      </c>
      <c r="AF59" s="43" t="str">
        <f aca="false">IF(OR(K59="",G59=""),"",IF(J59=0,"",AC59/J59))</f>
        <v/>
      </c>
      <c r="AG59" s="41" t="str">
        <f aca="false">IF(OR(K59="",G59=""),"",(J59+V59)/(1-(1+Settings!$B$10)*(IF(N59="",Settings!$B$5,N59)+IF(M59="",Settings!$B$11,M59))-IF(UPPER(O59)="Y",Settings!$B$9,0)-Settings!$B$13-Settings!$B$12)-N(L59))</f>
        <v/>
      </c>
      <c r="AH59" s="41" t="str">
        <f aca="false">IF(OR(K59="",G59=""),"",(J59+V59+Settings!$B$15)/(1-(1+Settings!$B$10)*(IF(N59="",Settings!$B$5,N59)+IF(M59="",Settings!$B$11,M59))-IF(UPPER(O59)="Y",Settings!$B$9,0)-Settings!$B$13-Settings!$B$12)-N(L59))</f>
        <v/>
      </c>
      <c r="AI59" s="46" t="str">
        <f aca="false">IF(C59="","",IF(OR(ISNUMBER(SEARCH("amazon",C59)),ISNUMBER(SEARCH("walmart",C59)),ISNUMBER(SEARCH("aliexpress",C59)),ISNUMBER(SEARCH("temu",C59))),"⚠ Retail source — not allowed","✓ Wholesale / own stock"))</f>
        <v/>
      </c>
      <c r="AJ59" s="47" t="str">
        <f aca="false">IF(OR(K59="",G59=""),"",IF(LEFT(AI59,1)="⚠","❌ SKIP",IF(AND(AC59&gt;=Settings!$B$15,AF59&gt;=Settings!$B$16,OR(R59="",N(R59)&gt;=Settings!$B$17)),"✅ GO",IF(AC59&gt;0,"⚠ CHECK","❌ SKIP"))))</f>
        <v/>
      </c>
      <c r="AK59" s="38"/>
    </row>
    <row r="60" customFormat="false" ht="15" hidden="false" customHeight="false" outlineLevel="0" collapsed="false">
      <c r="A60" s="37" t="str">
        <f aca="false">IF(B60="","",ROW()-4)</f>
        <v/>
      </c>
      <c r="B60" s="38"/>
      <c r="C60" s="39"/>
      <c r="D60" s="38"/>
      <c r="E60" s="38"/>
      <c r="F60" s="38"/>
      <c r="G60" s="40"/>
      <c r="H60" s="40"/>
      <c r="I60" s="40"/>
      <c r="J60" s="41" t="str">
        <f aca="false">IF(G60="","",G60+N(H60)+N(I60))</f>
        <v/>
      </c>
      <c r="K60" s="40"/>
      <c r="L60" s="40"/>
      <c r="M60" s="42"/>
      <c r="N60" s="42"/>
      <c r="O60" s="39"/>
      <c r="P60" s="38"/>
      <c r="Q60" s="38"/>
      <c r="R60" s="43" t="str">
        <f aca="false">IF(OR(P60="",Q60=""),"",P60/(P60+Q60))</f>
        <v/>
      </c>
      <c r="S60" s="41" t="str">
        <f aca="false">IF(OR(K60="",G60=""),"",K60+N(L60))</f>
        <v/>
      </c>
      <c r="T60" s="41" t="str">
        <f aca="false">IF(OR(K60="",G60=""),"",S60*Settings!$B$10)</f>
        <v/>
      </c>
      <c r="U60" s="41" t="str">
        <f aca="false">IF(OR(K60="",G60=""),"",(S60+T60)*IF(N60="",Settings!$B$5,N60))</f>
        <v/>
      </c>
      <c r="V60" s="41" t="str">
        <f aca="false">IF(OR(K60="",G60=""),"",IF(S60+T60&lt;=Settings!$B$8,Settings!$B$6,Settings!$B$7))</f>
        <v/>
      </c>
      <c r="W60" s="41" t="str">
        <f aca="false">IF(OR(K60="",G60=""),"",S60*IF(UPPER(O60)="Y",Settings!$B$9,0))</f>
        <v/>
      </c>
      <c r="X60" s="41" t="str">
        <f aca="false">IF(OR(K60="",G60=""),"",(S60+T60)*IF(M60="",Settings!$B$11,M60))</f>
        <v/>
      </c>
      <c r="Y60" s="41" t="str">
        <f aca="false">IF(OR(K60="",G60=""),"",U60+V60+W60+X60)</f>
        <v/>
      </c>
      <c r="Z60" s="41" t="str">
        <f aca="false">IF(OR(K60="",G60=""),"",S60-Y60)</f>
        <v/>
      </c>
      <c r="AA60" s="41" t="str">
        <f aca="false">IF(OR(K60="",G60=""),"",Z60*Settings!$B$12)</f>
        <v/>
      </c>
      <c r="AB60" s="41" t="str">
        <f aca="false">IF(OR(K60="",G60=""),"",S60*Settings!$B$13)</f>
        <v/>
      </c>
      <c r="AC60" s="44" t="str">
        <f aca="false">IF(OR(K60="",G60=""),"",Z60-AA60-AB60-J60)</f>
        <v/>
      </c>
      <c r="AD60" s="45" t="str">
        <f aca="false">IF(OR(K60="",G60=""),"",AC60*Settings!$B$14)</f>
        <v/>
      </c>
      <c r="AE60" s="43" t="str">
        <f aca="false">IF(OR(K60="",G60=""),"",IF(S60=0,"",AC60/S60))</f>
        <v/>
      </c>
      <c r="AF60" s="43" t="str">
        <f aca="false">IF(OR(K60="",G60=""),"",IF(J60=0,"",AC60/J60))</f>
        <v/>
      </c>
      <c r="AG60" s="41" t="str">
        <f aca="false">IF(OR(K60="",G60=""),"",(J60+V60)/(1-(1+Settings!$B$10)*(IF(N60="",Settings!$B$5,N60)+IF(M60="",Settings!$B$11,M60))-IF(UPPER(O60)="Y",Settings!$B$9,0)-Settings!$B$13-Settings!$B$12)-N(L60))</f>
        <v/>
      </c>
      <c r="AH60" s="41" t="str">
        <f aca="false">IF(OR(K60="",G60=""),"",(J60+V60+Settings!$B$15)/(1-(1+Settings!$B$10)*(IF(N60="",Settings!$B$5,N60)+IF(M60="",Settings!$B$11,M60))-IF(UPPER(O60)="Y",Settings!$B$9,0)-Settings!$B$13-Settings!$B$12)-N(L60))</f>
        <v/>
      </c>
      <c r="AI60" s="46" t="str">
        <f aca="false">IF(C60="","",IF(OR(ISNUMBER(SEARCH("amazon",C60)),ISNUMBER(SEARCH("walmart",C60)),ISNUMBER(SEARCH("aliexpress",C60)),ISNUMBER(SEARCH("temu",C60))),"⚠ Retail source — not allowed","✓ Wholesale / own stock"))</f>
        <v/>
      </c>
      <c r="AJ60" s="47" t="str">
        <f aca="false">IF(OR(K60="",G60=""),"",IF(LEFT(AI60,1)="⚠","❌ SKIP",IF(AND(AC60&gt;=Settings!$B$15,AF60&gt;=Settings!$B$16,OR(R60="",N(R60)&gt;=Settings!$B$17)),"✅ GO",IF(AC60&gt;0,"⚠ CHECK","❌ SKIP"))))</f>
        <v/>
      </c>
      <c r="AK60" s="38"/>
    </row>
    <row r="61" customFormat="false" ht="15" hidden="false" customHeight="false" outlineLevel="0" collapsed="false">
      <c r="A61" s="37" t="str">
        <f aca="false">IF(B61="","",ROW()-4)</f>
        <v/>
      </c>
      <c r="B61" s="38"/>
      <c r="C61" s="39"/>
      <c r="D61" s="38"/>
      <c r="E61" s="38"/>
      <c r="F61" s="38"/>
      <c r="G61" s="40"/>
      <c r="H61" s="40"/>
      <c r="I61" s="40"/>
      <c r="J61" s="41" t="str">
        <f aca="false">IF(G61="","",G61+N(H61)+N(I61))</f>
        <v/>
      </c>
      <c r="K61" s="40"/>
      <c r="L61" s="40"/>
      <c r="M61" s="42"/>
      <c r="N61" s="42"/>
      <c r="O61" s="39"/>
      <c r="P61" s="38"/>
      <c r="Q61" s="38"/>
      <c r="R61" s="43" t="str">
        <f aca="false">IF(OR(P61="",Q61=""),"",P61/(P61+Q61))</f>
        <v/>
      </c>
      <c r="S61" s="41" t="str">
        <f aca="false">IF(OR(K61="",G61=""),"",K61+N(L61))</f>
        <v/>
      </c>
      <c r="T61" s="41" t="str">
        <f aca="false">IF(OR(K61="",G61=""),"",S61*Settings!$B$10)</f>
        <v/>
      </c>
      <c r="U61" s="41" t="str">
        <f aca="false">IF(OR(K61="",G61=""),"",(S61+T61)*IF(N61="",Settings!$B$5,N61))</f>
        <v/>
      </c>
      <c r="V61" s="41" t="str">
        <f aca="false">IF(OR(K61="",G61=""),"",IF(S61+T61&lt;=Settings!$B$8,Settings!$B$6,Settings!$B$7))</f>
        <v/>
      </c>
      <c r="W61" s="41" t="str">
        <f aca="false">IF(OR(K61="",G61=""),"",S61*IF(UPPER(O61)="Y",Settings!$B$9,0))</f>
        <v/>
      </c>
      <c r="X61" s="41" t="str">
        <f aca="false">IF(OR(K61="",G61=""),"",(S61+T61)*IF(M61="",Settings!$B$11,M61))</f>
        <v/>
      </c>
      <c r="Y61" s="41" t="str">
        <f aca="false">IF(OR(K61="",G61=""),"",U61+V61+W61+X61)</f>
        <v/>
      </c>
      <c r="Z61" s="41" t="str">
        <f aca="false">IF(OR(K61="",G61=""),"",S61-Y61)</f>
        <v/>
      </c>
      <c r="AA61" s="41" t="str">
        <f aca="false">IF(OR(K61="",G61=""),"",Z61*Settings!$B$12)</f>
        <v/>
      </c>
      <c r="AB61" s="41" t="str">
        <f aca="false">IF(OR(K61="",G61=""),"",S61*Settings!$B$13)</f>
        <v/>
      </c>
      <c r="AC61" s="44" t="str">
        <f aca="false">IF(OR(K61="",G61=""),"",Z61-AA61-AB61-J61)</f>
        <v/>
      </c>
      <c r="AD61" s="45" t="str">
        <f aca="false">IF(OR(K61="",G61=""),"",AC61*Settings!$B$14)</f>
        <v/>
      </c>
      <c r="AE61" s="43" t="str">
        <f aca="false">IF(OR(K61="",G61=""),"",IF(S61=0,"",AC61/S61))</f>
        <v/>
      </c>
      <c r="AF61" s="43" t="str">
        <f aca="false">IF(OR(K61="",G61=""),"",IF(J61=0,"",AC61/J61))</f>
        <v/>
      </c>
      <c r="AG61" s="41" t="str">
        <f aca="false">IF(OR(K61="",G61=""),"",(J61+V61)/(1-(1+Settings!$B$10)*(IF(N61="",Settings!$B$5,N61)+IF(M61="",Settings!$B$11,M61))-IF(UPPER(O61)="Y",Settings!$B$9,0)-Settings!$B$13-Settings!$B$12)-N(L61))</f>
        <v/>
      </c>
      <c r="AH61" s="41" t="str">
        <f aca="false">IF(OR(K61="",G61=""),"",(J61+V61+Settings!$B$15)/(1-(1+Settings!$B$10)*(IF(N61="",Settings!$B$5,N61)+IF(M61="",Settings!$B$11,M61))-IF(UPPER(O61)="Y",Settings!$B$9,0)-Settings!$B$13-Settings!$B$12)-N(L61))</f>
        <v/>
      </c>
      <c r="AI61" s="46" t="str">
        <f aca="false">IF(C61="","",IF(OR(ISNUMBER(SEARCH("amazon",C61)),ISNUMBER(SEARCH("walmart",C61)),ISNUMBER(SEARCH("aliexpress",C61)),ISNUMBER(SEARCH("temu",C61))),"⚠ Retail source — not allowed","✓ Wholesale / own stock"))</f>
        <v/>
      </c>
      <c r="AJ61" s="47" t="str">
        <f aca="false">IF(OR(K61="",G61=""),"",IF(LEFT(AI61,1)="⚠","❌ SKIP",IF(AND(AC61&gt;=Settings!$B$15,AF61&gt;=Settings!$B$16,OR(R61="",N(R61)&gt;=Settings!$B$17)),"✅ GO",IF(AC61&gt;0,"⚠ CHECK","❌ SKIP"))))</f>
        <v/>
      </c>
      <c r="AK61" s="38"/>
    </row>
    <row r="62" customFormat="false" ht="15" hidden="false" customHeight="false" outlineLevel="0" collapsed="false">
      <c r="A62" s="37" t="str">
        <f aca="false">IF(B62="","",ROW()-4)</f>
        <v/>
      </c>
      <c r="B62" s="38"/>
      <c r="C62" s="39"/>
      <c r="D62" s="38"/>
      <c r="E62" s="38"/>
      <c r="F62" s="38"/>
      <c r="G62" s="40"/>
      <c r="H62" s="40"/>
      <c r="I62" s="40"/>
      <c r="J62" s="41" t="str">
        <f aca="false">IF(G62="","",G62+N(H62)+N(I62))</f>
        <v/>
      </c>
      <c r="K62" s="40"/>
      <c r="L62" s="40"/>
      <c r="M62" s="42"/>
      <c r="N62" s="42"/>
      <c r="O62" s="39"/>
      <c r="P62" s="38"/>
      <c r="Q62" s="38"/>
      <c r="R62" s="43" t="str">
        <f aca="false">IF(OR(P62="",Q62=""),"",P62/(P62+Q62))</f>
        <v/>
      </c>
      <c r="S62" s="41" t="str">
        <f aca="false">IF(OR(K62="",G62=""),"",K62+N(L62))</f>
        <v/>
      </c>
      <c r="T62" s="41" t="str">
        <f aca="false">IF(OR(K62="",G62=""),"",S62*Settings!$B$10)</f>
        <v/>
      </c>
      <c r="U62" s="41" t="str">
        <f aca="false">IF(OR(K62="",G62=""),"",(S62+T62)*IF(N62="",Settings!$B$5,N62))</f>
        <v/>
      </c>
      <c r="V62" s="41" t="str">
        <f aca="false">IF(OR(K62="",G62=""),"",IF(S62+T62&lt;=Settings!$B$8,Settings!$B$6,Settings!$B$7))</f>
        <v/>
      </c>
      <c r="W62" s="41" t="str">
        <f aca="false">IF(OR(K62="",G62=""),"",S62*IF(UPPER(O62)="Y",Settings!$B$9,0))</f>
        <v/>
      </c>
      <c r="X62" s="41" t="str">
        <f aca="false">IF(OR(K62="",G62=""),"",(S62+T62)*IF(M62="",Settings!$B$11,M62))</f>
        <v/>
      </c>
      <c r="Y62" s="41" t="str">
        <f aca="false">IF(OR(K62="",G62=""),"",U62+V62+W62+X62)</f>
        <v/>
      </c>
      <c r="Z62" s="41" t="str">
        <f aca="false">IF(OR(K62="",G62=""),"",S62-Y62)</f>
        <v/>
      </c>
      <c r="AA62" s="41" t="str">
        <f aca="false">IF(OR(K62="",G62=""),"",Z62*Settings!$B$12)</f>
        <v/>
      </c>
      <c r="AB62" s="41" t="str">
        <f aca="false">IF(OR(K62="",G62=""),"",S62*Settings!$B$13)</f>
        <v/>
      </c>
      <c r="AC62" s="44" t="str">
        <f aca="false">IF(OR(K62="",G62=""),"",Z62-AA62-AB62-J62)</f>
        <v/>
      </c>
      <c r="AD62" s="45" t="str">
        <f aca="false">IF(OR(K62="",G62=""),"",AC62*Settings!$B$14)</f>
        <v/>
      </c>
      <c r="AE62" s="43" t="str">
        <f aca="false">IF(OR(K62="",G62=""),"",IF(S62=0,"",AC62/S62))</f>
        <v/>
      </c>
      <c r="AF62" s="43" t="str">
        <f aca="false">IF(OR(K62="",G62=""),"",IF(J62=0,"",AC62/J62))</f>
        <v/>
      </c>
      <c r="AG62" s="41" t="str">
        <f aca="false">IF(OR(K62="",G62=""),"",(J62+V62)/(1-(1+Settings!$B$10)*(IF(N62="",Settings!$B$5,N62)+IF(M62="",Settings!$B$11,M62))-IF(UPPER(O62)="Y",Settings!$B$9,0)-Settings!$B$13-Settings!$B$12)-N(L62))</f>
        <v/>
      </c>
      <c r="AH62" s="41" t="str">
        <f aca="false">IF(OR(K62="",G62=""),"",(J62+V62+Settings!$B$15)/(1-(1+Settings!$B$10)*(IF(N62="",Settings!$B$5,N62)+IF(M62="",Settings!$B$11,M62))-IF(UPPER(O62)="Y",Settings!$B$9,0)-Settings!$B$13-Settings!$B$12)-N(L62))</f>
        <v/>
      </c>
      <c r="AI62" s="46" t="str">
        <f aca="false">IF(C62="","",IF(OR(ISNUMBER(SEARCH("amazon",C62)),ISNUMBER(SEARCH("walmart",C62)),ISNUMBER(SEARCH("aliexpress",C62)),ISNUMBER(SEARCH("temu",C62))),"⚠ Retail source — not allowed","✓ Wholesale / own stock"))</f>
        <v/>
      </c>
      <c r="AJ62" s="47" t="str">
        <f aca="false">IF(OR(K62="",G62=""),"",IF(LEFT(AI62,1)="⚠","❌ SKIP",IF(AND(AC62&gt;=Settings!$B$15,AF62&gt;=Settings!$B$16,OR(R62="",N(R62)&gt;=Settings!$B$17)),"✅ GO",IF(AC62&gt;0,"⚠ CHECK","❌ SKIP"))))</f>
        <v/>
      </c>
      <c r="AK62" s="38"/>
    </row>
    <row r="63" customFormat="false" ht="15" hidden="false" customHeight="false" outlineLevel="0" collapsed="false">
      <c r="A63" s="37" t="str">
        <f aca="false">IF(B63="","",ROW()-4)</f>
        <v/>
      </c>
      <c r="B63" s="38"/>
      <c r="C63" s="39"/>
      <c r="D63" s="38"/>
      <c r="E63" s="38"/>
      <c r="F63" s="38"/>
      <c r="G63" s="40"/>
      <c r="H63" s="40"/>
      <c r="I63" s="40"/>
      <c r="J63" s="41" t="str">
        <f aca="false">IF(G63="","",G63+N(H63)+N(I63))</f>
        <v/>
      </c>
      <c r="K63" s="40"/>
      <c r="L63" s="40"/>
      <c r="M63" s="42"/>
      <c r="N63" s="42"/>
      <c r="O63" s="39"/>
      <c r="P63" s="38"/>
      <c r="Q63" s="38"/>
      <c r="R63" s="43" t="str">
        <f aca="false">IF(OR(P63="",Q63=""),"",P63/(P63+Q63))</f>
        <v/>
      </c>
      <c r="S63" s="41" t="str">
        <f aca="false">IF(OR(K63="",G63=""),"",K63+N(L63))</f>
        <v/>
      </c>
      <c r="T63" s="41" t="str">
        <f aca="false">IF(OR(K63="",G63=""),"",S63*Settings!$B$10)</f>
        <v/>
      </c>
      <c r="U63" s="41" t="str">
        <f aca="false">IF(OR(K63="",G63=""),"",(S63+T63)*IF(N63="",Settings!$B$5,N63))</f>
        <v/>
      </c>
      <c r="V63" s="41" t="str">
        <f aca="false">IF(OR(K63="",G63=""),"",IF(S63+T63&lt;=Settings!$B$8,Settings!$B$6,Settings!$B$7))</f>
        <v/>
      </c>
      <c r="W63" s="41" t="str">
        <f aca="false">IF(OR(K63="",G63=""),"",S63*IF(UPPER(O63)="Y",Settings!$B$9,0))</f>
        <v/>
      </c>
      <c r="X63" s="41" t="str">
        <f aca="false">IF(OR(K63="",G63=""),"",(S63+T63)*IF(M63="",Settings!$B$11,M63))</f>
        <v/>
      </c>
      <c r="Y63" s="41" t="str">
        <f aca="false">IF(OR(K63="",G63=""),"",U63+V63+W63+X63)</f>
        <v/>
      </c>
      <c r="Z63" s="41" t="str">
        <f aca="false">IF(OR(K63="",G63=""),"",S63-Y63)</f>
        <v/>
      </c>
      <c r="AA63" s="41" t="str">
        <f aca="false">IF(OR(K63="",G63=""),"",Z63*Settings!$B$12)</f>
        <v/>
      </c>
      <c r="AB63" s="41" t="str">
        <f aca="false">IF(OR(K63="",G63=""),"",S63*Settings!$B$13)</f>
        <v/>
      </c>
      <c r="AC63" s="44" t="str">
        <f aca="false">IF(OR(K63="",G63=""),"",Z63-AA63-AB63-J63)</f>
        <v/>
      </c>
      <c r="AD63" s="45" t="str">
        <f aca="false">IF(OR(K63="",G63=""),"",AC63*Settings!$B$14)</f>
        <v/>
      </c>
      <c r="AE63" s="43" t="str">
        <f aca="false">IF(OR(K63="",G63=""),"",IF(S63=0,"",AC63/S63))</f>
        <v/>
      </c>
      <c r="AF63" s="43" t="str">
        <f aca="false">IF(OR(K63="",G63=""),"",IF(J63=0,"",AC63/J63))</f>
        <v/>
      </c>
      <c r="AG63" s="41" t="str">
        <f aca="false">IF(OR(K63="",G63=""),"",(J63+V63)/(1-(1+Settings!$B$10)*(IF(N63="",Settings!$B$5,N63)+IF(M63="",Settings!$B$11,M63))-IF(UPPER(O63)="Y",Settings!$B$9,0)-Settings!$B$13-Settings!$B$12)-N(L63))</f>
        <v/>
      </c>
      <c r="AH63" s="41" t="str">
        <f aca="false">IF(OR(K63="",G63=""),"",(J63+V63+Settings!$B$15)/(1-(1+Settings!$B$10)*(IF(N63="",Settings!$B$5,N63)+IF(M63="",Settings!$B$11,M63))-IF(UPPER(O63)="Y",Settings!$B$9,0)-Settings!$B$13-Settings!$B$12)-N(L63))</f>
        <v/>
      </c>
      <c r="AI63" s="46" t="str">
        <f aca="false">IF(C63="","",IF(OR(ISNUMBER(SEARCH("amazon",C63)),ISNUMBER(SEARCH("walmart",C63)),ISNUMBER(SEARCH("aliexpress",C63)),ISNUMBER(SEARCH("temu",C63))),"⚠ Retail source — not allowed","✓ Wholesale / own stock"))</f>
        <v/>
      </c>
      <c r="AJ63" s="47" t="str">
        <f aca="false">IF(OR(K63="",G63=""),"",IF(LEFT(AI63,1)="⚠","❌ SKIP",IF(AND(AC63&gt;=Settings!$B$15,AF63&gt;=Settings!$B$16,OR(R63="",N(R63)&gt;=Settings!$B$17)),"✅ GO",IF(AC63&gt;0,"⚠ CHECK","❌ SKIP"))))</f>
        <v/>
      </c>
      <c r="AK63" s="38"/>
    </row>
    <row r="64" customFormat="false" ht="15" hidden="false" customHeight="false" outlineLevel="0" collapsed="false">
      <c r="A64" s="37" t="str">
        <f aca="false">IF(B64="","",ROW()-4)</f>
        <v/>
      </c>
      <c r="B64" s="38"/>
      <c r="C64" s="39"/>
      <c r="D64" s="38"/>
      <c r="E64" s="38"/>
      <c r="F64" s="38"/>
      <c r="G64" s="40"/>
      <c r="H64" s="40"/>
      <c r="I64" s="40"/>
      <c r="J64" s="41" t="str">
        <f aca="false">IF(G64="","",G64+N(H64)+N(I64))</f>
        <v/>
      </c>
      <c r="K64" s="40"/>
      <c r="L64" s="40"/>
      <c r="M64" s="42"/>
      <c r="N64" s="42"/>
      <c r="O64" s="39"/>
      <c r="P64" s="38"/>
      <c r="Q64" s="38"/>
      <c r="R64" s="43" t="str">
        <f aca="false">IF(OR(P64="",Q64=""),"",P64/(P64+Q64))</f>
        <v/>
      </c>
      <c r="S64" s="41" t="str">
        <f aca="false">IF(OR(K64="",G64=""),"",K64+N(L64))</f>
        <v/>
      </c>
      <c r="T64" s="41" t="str">
        <f aca="false">IF(OR(K64="",G64=""),"",S64*Settings!$B$10)</f>
        <v/>
      </c>
      <c r="U64" s="41" t="str">
        <f aca="false">IF(OR(K64="",G64=""),"",(S64+T64)*IF(N64="",Settings!$B$5,N64))</f>
        <v/>
      </c>
      <c r="V64" s="41" t="str">
        <f aca="false">IF(OR(K64="",G64=""),"",IF(S64+T64&lt;=Settings!$B$8,Settings!$B$6,Settings!$B$7))</f>
        <v/>
      </c>
      <c r="W64" s="41" t="str">
        <f aca="false">IF(OR(K64="",G64=""),"",S64*IF(UPPER(O64)="Y",Settings!$B$9,0))</f>
        <v/>
      </c>
      <c r="X64" s="41" t="str">
        <f aca="false">IF(OR(K64="",G64=""),"",(S64+T64)*IF(M64="",Settings!$B$11,M64))</f>
        <v/>
      </c>
      <c r="Y64" s="41" t="str">
        <f aca="false">IF(OR(K64="",G64=""),"",U64+V64+W64+X64)</f>
        <v/>
      </c>
      <c r="Z64" s="41" t="str">
        <f aca="false">IF(OR(K64="",G64=""),"",S64-Y64)</f>
        <v/>
      </c>
      <c r="AA64" s="41" t="str">
        <f aca="false">IF(OR(K64="",G64=""),"",Z64*Settings!$B$12)</f>
        <v/>
      </c>
      <c r="AB64" s="41" t="str">
        <f aca="false">IF(OR(K64="",G64=""),"",S64*Settings!$B$13)</f>
        <v/>
      </c>
      <c r="AC64" s="44" t="str">
        <f aca="false">IF(OR(K64="",G64=""),"",Z64-AA64-AB64-J64)</f>
        <v/>
      </c>
      <c r="AD64" s="45" t="str">
        <f aca="false">IF(OR(K64="",G64=""),"",AC64*Settings!$B$14)</f>
        <v/>
      </c>
      <c r="AE64" s="43" t="str">
        <f aca="false">IF(OR(K64="",G64=""),"",IF(S64=0,"",AC64/S64))</f>
        <v/>
      </c>
      <c r="AF64" s="43" t="str">
        <f aca="false">IF(OR(K64="",G64=""),"",IF(J64=0,"",AC64/J64))</f>
        <v/>
      </c>
      <c r="AG64" s="41" t="str">
        <f aca="false">IF(OR(K64="",G64=""),"",(J64+V64)/(1-(1+Settings!$B$10)*(IF(N64="",Settings!$B$5,N64)+IF(M64="",Settings!$B$11,M64))-IF(UPPER(O64)="Y",Settings!$B$9,0)-Settings!$B$13-Settings!$B$12)-N(L64))</f>
        <v/>
      </c>
      <c r="AH64" s="41" t="str">
        <f aca="false">IF(OR(K64="",G64=""),"",(J64+V64+Settings!$B$15)/(1-(1+Settings!$B$10)*(IF(N64="",Settings!$B$5,N64)+IF(M64="",Settings!$B$11,M64))-IF(UPPER(O64)="Y",Settings!$B$9,0)-Settings!$B$13-Settings!$B$12)-N(L64))</f>
        <v/>
      </c>
      <c r="AI64" s="46" t="str">
        <f aca="false">IF(C64="","",IF(OR(ISNUMBER(SEARCH("amazon",C64)),ISNUMBER(SEARCH("walmart",C64)),ISNUMBER(SEARCH("aliexpress",C64)),ISNUMBER(SEARCH("temu",C64))),"⚠ Retail source — not allowed","✓ Wholesale / own stock"))</f>
        <v/>
      </c>
      <c r="AJ64" s="47" t="str">
        <f aca="false">IF(OR(K64="",G64=""),"",IF(LEFT(AI64,1)="⚠","❌ SKIP",IF(AND(AC64&gt;=Settings!$B$15,AF64&gt;=Settings!$B$16,OR(R64="",N(R64)&gt;=Settings!$B$17)),"✅ GO",IF(AC64&gt;0,"⚠ CHECK","❌ SKIP"))))</f>
        <v/>
      </c>
      <c r="AK64" s="38"/>
    </row>
    <row r="65" customFormat="false" ht="15" hidden="false" customHeight="false" outlineLevel="0" collapsed="false">
      <c r="A65" s="37" t="str">
        <f aca="false">IF(B65="","",ROW()-4)</f>
        <v/>
      </c>
      <c r="B65" s="38"/>
      <c r="C65" s="39"/>
      <c r="D65" s="38"/>
      <c r="E65" s="38"/>
      <c r="F65" s="38"/>
      <c r="G65" s="40"/>
      <c r="H65" s="40"/>
      <c r="I65" s="40"/>
      <c r="J65" s="41" t="str">
        <f aca="false">IF(G65="","",G65+N(H65)+N(I65))</f>
        <v/>
      </c>
      <c r="K65" s="40"/>
      <c r="L65" s="40"/>
      <c r="M65" s="42"/>
      <c r="N65" s="42"/>
      <c r="O65" s="39"/>
      <c r="P65" s="38"/>
      <c r="Q65" s="38"/>
      <c r="R65" s="43" t="str">
        <f aca="false">IF(OR(P65="",Q65=""),"",P65/(P65+Q65))</f>
        <v/>
      </c>
      <c r="S65" s="41" t="str">
        <f aca="false">IF(OR(K65="",G65=""),"",K65+N(L65))</f>
        <v/>
      </c>
      <c r="T65" s="41" t="str">
        <f aca="false">IF(OR(K65="",G65=""),"",S65*Settings!$B$10)</f>
        <v/>
      </c>
      <c r="U65" s="41" t="str">
        <f aca="false">IF(OR(K65="",G65=""),"",(S65+T65)*IF(N65="",Settings!$B$5,N65))</f>
        <v/>
      </c>
      <c r="V65" s="41" t="str">
        <f aca="false">IF(OR(K65="",G65=""),"",IF(S65+T65&lt;=Settings!$B$8,Settings!$B$6,Settings!$B$7))</f>
        <v/>
      </c>
      <c r="W65" s="41" t="str">
        <f aca="false">IF(OR(K65="",G65=""),"",S65*IF(UPPER(O65)="Y",Settings!$B$9,0))</f>
        <v/>
      </c>
      <c r="X65" s="41" t="str">
        <f aca="false">IF(OR(K65="",G65=""),"",(S65+T65)*IF(M65="",Settings!$B$11,M65))</f>
        <v/>
      </c>
      <c r="Y65" s="41" t="str">
        <f aca="false">IF(OR(K65="",G65=""),"",U65+V65+W65+X65)</f>
        <v/>
      </c>
      <c r="Z65" s="41" t="str">
        <f aca="false">IF(OR(K65="",G65=""),"",S65-Y65)</f>
        <v/>
      </c>
      <c r="AA65" s="41" t="str">
        <f aca="false">IF(OR(K65="",G65=""),"",Z65*Settings!$B$12)</f>
        <v/>
      </c>
      <c r="AB65" s="41" t="str">
        <f aca="false">IF(OR(K65="",G65=""),"",S65*Settings!$B$13)</f>
        <v/>
      </c>
      <c r="AC65" s="44" t="str">
        <f aca="false">IF(OR(K65="",G65=""),"",Z65-AA65-AB65-J65)</f>
        <v/>
      </c>
      <c r="AD65" s="45" t="str">
        <f aca="false">IF(OR(K65="",G65=""),"",AC65*Settings!$B$14)</f>
        <v/>
      </c>
      <c r="AE65" s="43" t="str">
        <f aca="false">IF(OR(K65="",G65=""),"",IF(S65=0,"",AC65/S65))</f>
        <v/>
      </c>
      <c r="AF65" s="43" t="str">
        <f aca="false">IF(OR(K65="",G65=""),"",IF(J65=0,"",AC65/J65))</f>
        <v/>
      </c>
      <c r="AG65" s="41" t="str">
        <f aca="false">IF(OR(K65="",G65=""),"",(J65+V65)/(1-(1+Settings!$B$10)*(IF(N65="",Settings!$B$5,N65)+IF(M65="",Settings!$B$11,M65))-IF(UPPER(O65)="Y",Settings!$B$9,0)-Settings!$B$13-Settings!$B$12)-N(L65))</f>
        <v/>
      </c>
      <c r="AH65" s="41" t="str">
        <f aca="false">IF(OR(K65="",G65=""),"",(J65+V65+Settings!$B$15)/(1-(1+Settings!$B$10)*(IF(N65="",Settings!$B$5,N65)+IF(M65="",Settings!$B$11,M65))-IF(UPPER(O65)="Y",Settings!$B$9,0)-Settings!$B$13-Settings!$B$12)-N(L65))</f>
        <v/>
      </c>
      <c r="AI65" s="46" t="str">
        <f aca="false">IF(C65="","",IF(OR(ISNUMBER(SEARCH("amazon",C65)),ISNUMBER(SEARCH("walmart",C65)),ISNUMBER(SEARCH("aliexpress",C65)),ISNUMBER(SEARCH("temu",C65))),"⚠ Retail source — not allowed","✓ Wholesale / own stock"))</f>
        <v/>
      </c>
      <c r="AJ65" s="47" t="str">
        <f aca="false">IF(OR(K65="",G65=""),"",IF(LEFT(AI65,1)="⚠","❌ SKIP",IF(AND(AC65&gt;=Settings!$B$15,AF65&gt;=Settings!$B$16,OR(R65="",N(R65)&gt;=Settings!$B$17)),"✅ GO",IF(AC65&gt;0,"⚠ CHECK","❌ SKIP"))))</f>
        <v/>
      </c>
      <c r="AK65" s="38"/>
    </row>
    <row r="66" customFormat="false" ht="15" hidden="false" customHeight="false" outlineLevel="0" collapsed="false">
      <c r="A66" s="37" t="str">
        <f aca="false">IF(B66="","",ROW()-4)</f>
        <v/>
      </c>
      <c r="B66" s="38"/>
      <c r="C66" s="39"/>
      <c r="D66" s="38"/>
      <c r="E66" s="38"/>
      <c r="F66" s="38"/>
      <c r="G66" s="40"/>
      <c r="H66" s="40"/>
      <c r="I66" s="40"/>
      <c r="J66" s="41" t="str">
        <f aca="false">IF(G66="","",G66+N(H66)+N(I66))</f>
        <v/>
      </c>
      <c r="K66" s="40"/>
      <c r="L66" s="40"/>
      <c r="M66" s="42"/>
      <c r="N66" s="42"/>
      <c r="O66" s="39"/>
      <c r="P66" s="38"/>
      <c r="Q66" s="38"/>
      <c r="R66" s="43" t="str">
        <f aca="false">IF(OR(P66="",Q66=""),"",P66/(P66+Q66))</f>
        <v/>
      </c>
      <c r="S66" s="41" t="str">
        <f aca="false">IF(OR(K66="",G66=""),"",K66+N(L66))</f>
        <v/>
      </c>
      <c r="T66" s="41" t="str">
        <f aca="false">IF(OR(K66="",G66=""),"",S66*Settings!$B$10)</f>
        <v/>
      </c>
      <c r="U66" s="41" t="str">
        <f aca="false">IF(OR(K66="",G66=""),"",(S66+T66)*IF(N66="",Settings!$B$5,N66))</f>
        <v/>
      </c>
      <c r="V66" s="41" t="str">
        <f aca="false">IF(OR(K66="",G66=""),"",IF(S66+T66&lt;=Settings!$B$8,Settings!$B$6,Settings!$B$7))</f>
        <v/>
      </c>
      <c r="W66" s="41" t="str">
        <f aca="false">IF(OR(K66="",G66=""),"",S66*IF(UPPER(O66)="Y",Settings!$B$9,0))</f>
        <v/>
      </c>
      <c r="X66" s="41" t="str">
        <f aca="false">IF(OR(K66="",G66=""),"",(S66+T66)*IF(M66="",Settings!$B$11,M66))</f>
        <v/>
      </c>
      <c r="Y66" s="41" t="str">
        <f aca="false">IF(OR(K66="",G66=""),"",U66+V66+W66+X66)</f>
        <v/>
      </c>
      <c r="Z66" s="41" t="str">
        <f aca="false">IF(OR(K66="",G66=""),"",S66-Y66)</f>
        <v/>
      </c>
      <c r="AA66" s="41" t="str">
        <f aca="false">IF(OR(K66="",G66=""),"",Z66*Settings!$B$12)</f>
        <v/>
      </c>
      <c r="AB66" s="41" t="str">
        <f aca="false">IF(OR(K66="",G66=""),"",S66*Settings!$B$13)</f>
        <v/>
      </c>
      <c r="AC66" s="44" t="str">
        <f aca="false">IF(OR(K66="",G66=""),"",Z66-AA66-AB66-J66)</f>
        <v/>
      </c>
      <c r="AD66" s="45" t="str">
        <f aca="false">IF(OR(K66="",G66=""),"",AC66*Settings!$B$14)</f>
        <v/>
      </c>
      <c r="AE66" s="43" t="str">
        <f aca="false">IF(OR(K66="",G66=""),"",IF(S66=0,"",AC66/S66))</f>
        <v/>
      </c>
      <c r="AF66" s="43" t="str">
        <f aca="false">IF(OR(K66="",G66=""),"",IF(J66=0,"",AC66/J66))</f>
        <v/>
      </c>
      <c r="AG66" s="41" t="str">
        <f aca="false">IF(OR(K66="",G66=""),"",(J66+V66)/(1-(1+Settings!$B$10)*(IF(N66="",Settings!$B$5,N66)+IF(M66="",Settings!$B$11,M66))-IF(UPPER(O66)="Y",Settings!$B$9,0)-Settings!$B$13-Settings!$B$12)-N(L66))</f>
        <v/>
      </c>
      <c r="AH66" s="41" t="str">
        <f aca="false">IF(OR(K66="",G66=""),"",(J66+V66+Settings!$B$15)/(1-(1+Settings!$B$10)*(IF(N66="",Settings!$B$5,N66)+IF(M66="",Settings!$B$11,M66))-IF(UPPER(O66)="Y",Settings!$B$9,0)-Settings!$B$13-Settings!$B$12)-N(L66))</f>
        <v/>
      </c>
      <c r="AI66" s="46" t="str">
        <f aca="false">IF(C66="","",IF(OR(ISNUMBER(SEARCH("amazon",C66)),ISNUMBER(SEARCH("walmart",C66)),ISNUMBER(SEARCH("aliexpress",C66)),ISNUMBER(SEARCH("temu",C66))),"⚠ Retail source — not allowed","✓ Wholesale / own stock"))</f>
        <v/>
      </c>
      <c r="AJ66" s="47" t="str">
        <f aca="false">IF(OR(K66="",G66=""),"",IF(LEFT(AI66,1)="⚠","❌ SKIP",IF(AND(AC66&gt;=Settings!$B$15,AF66&gt;=Settings!$B$16,OR(R66="",N(R66)&gt;=Settings!$B$17)),"✅ GO",IF(AC66&gt;0,"⚠ CHECK","❌ SKIP"))))</f>
        <v/>
      </c>
      <c r="AK66" s="38"/>
    </row>
    <row r="67" customFormat="false" ht="15" hidden="false" customHeight="false" outlineLevel="0" collapsed="false">
      <c r="A67" s="37" t="str">
        <f aca="false">IF(B67="","",ROW()-4)</f>
        <v/>
      </c>
      <c r="B67" s="38"/>
      <c r="C67" s="39"/>
      <c r="D67" s="38"/>
      <c r="E67" s="38"/>
      <c r="F67" s="38"/>
      <c r="G67" s="40"/>
      <c r="H67" s="40"/>
      <c r="I67" s="40"/>
      <c r="J67" s="41" t="str">
        <f aca="false">IF(G67="","",G67+N(H67)+N(I67))</f>
        <v/>
      </c>
      <c r="K67" s="40"/>
      <c r="L67" s="40"/>
      <c r="M67" s="42"/>
      <c r="N67" s="42"/>
      <c r="O67" s="39"/>
      <c r="P67" s="38"/>
      <c r="Q67" s="38"/>
      <c r="R67" s="43" t="str">
        <f aca="false">IF(OR(P67="",Q67=""),"",P67/(P67+Q67))</f>
        <v/>
      </c>
      <c r="S67" s="41" t="str">
        <f aca="false">IF(OR(K67="",G67=""),"",K67+N(L67))</f>
        <v/>
      </c>
      <c r="T67" s="41" t="str">
        <f aca="false">IF(OR(K67="",G67=""),"",S67*Settings!$B$10)</f>
        <v/>
      </c>
      <c r="U67" s="41" t="str">
        <f aca="false">IF(OR(K67="",G67=""),"",(S67+T67)*IF(N67="",Settings!$B$5,N67))</f>
        <v/>
      </c>
      <c r="V67" s="41" t="str">
        <f aca="false">IF(OR(K67="",G67=""),"",IF(S67+T67&lt;=Settings!$B$8,Settings!$B$6,Settings!$B$7))</f>
        <v/>
      </c>
      <c r="W67" s="41" t="str">
        <f aca="false">IF(OR(K67="",G67=""),"",S67*IF(UPPER(O67)="Y",Settings!$B$9,0))</f>
        <v/>
      </c>
      <c r="X67" s="41" t="str">
        <f aca="false">IF(OR(K67="",G67=""),"",(S67+T67)*IF(M67="",Settings!$B$11,M67))</f>
        <v/>
      </c>
      <c r="Y67" s="41" t="str">
        <f aca="false">IF(OR(K67="",G67=""),"",U67+V67+W67+X67)</f>
        <v/>
      </c>
      <c r="Z67" s="41" t="str">
        <f aca="false">IF(OR(K67="",G67=""),"",S67-Y67)</f>
        <v/>
      </c>
      <c r="AA67" s="41" t="str">
        <f aca="false">IF(OR(K67="",G67=""),"",Z67*Settings!$B$12)</f>
        <v/>
      </c>
      <c r="AB67" s="41" t="str">
        <f aca="false">IF(OR(K67="",G67=""),"",S67*Settings!$B$13)</f>
        <v/>
      </c>
      <c r="AC67" s="44" t="str">
        <f aca="false">IF(OR(K67="",G67=""),"",Z67-AA67-AB67-J67)</f>
        <v/>
      </c>
      <c r="AD67" s="45" t="str">
        <f aca="false">IF(OR(K67="",G67=""),"",AC67*Settings!$B$14)</f>
        <v/>
      </c>
      <c r="AE67" s="43" t="str">
        <f aca="false">IF(OR(K67="",G67=""),"",IF(S67=0,"",AC67/S67))</f>
        <v/>
      </c>
      <c r="AF67" s="43" t="str">
        <f aca="false">IF(OR(K67="",G67=""),"",IF(J67=0,"",AC67/J67))</f>
        <v/>
      </c>
      <c r="AG67" s="41" t="str">
        <f aca="false">IF(OR(K67="",G67=""),"",(J67+V67)/(1-(1+Settings!$B$10)*(IF(N67="",Settings!$B$5,N67)+IF(M67="",Settings!$B$11,M67))-IF(UPPER(O67)="Y",Settings!$B$9,0)-Settings!$B$13-Settings!$B$12)-N(L67))</f>
        <v/>
      </c>
      <c r="AH67" s="41" t="str">
        <f aca="false">IF(OR(K67="",G67=""),"",(J67+V67+Settings!$B$15)/(1-(1+Settings!$B$10)*(IF(N67="",Settings!$B$5,N67)+IF(M67="",Settings!$B$11,M67))-IF(UPPER(O67)="Y",Settings!$B$9,0)-Settings!$B$13-Settings!$B$12)-N(L67))</f>
        <v/>
      </c>
      <c r="AI67" s="46" t="str">
        <f aca="false">IF(C67="","",IF(OR(ISNUMBER(SEARCH("amazon",C67)),ISNUMBER(SEARCH("walmart",C67)),ISNUMBER(SEARCH("aliexpress",C67)),ISNUMBER(SEARCH("temu",C67))),"⚠ Retail source — not allowed","✓ Wholesale / own stock"))</f>
        <v/>
      </c>
      <c r="AJ67" s="47" t="str">
        <f aca="false">IF(OR(K67="",G67=""),"",IF(LEFT(AI67,1)="⚠","❌ SKIP",IF(AND(AC67&gt;=Settings!$B$15,AF67&gt;=Settings!$B$16,OR(R67="",N(R67)&gt;=Settings!$B$17)),"✅ GO",IF(AC67&gt;0,"⚠ CHECK","❌ SKIP"))))</f>
        <v/>
      </c>
      <c r="AK67" s="38"/>
    </row>
    <row r="68" customFormat="false" ht="15" hidden="false" customHeight="false" outlineLevel="0" collapsed="false">
      <c r="A68" s="37" t="str">
        <f aca="false">IF(B68="","",ROW()-4)</f>
        <v/>
      </c>
      <c r="B68" s="38"/>
      <c r="C68" s="39"/>
      <c r="D68" s="38"/>
      <c r="E68" s="38"/>
      <c r="F68" s="38"/>
      <c r="G68" s="40"/>
      <c r="H68" s="40"/>
      <c r="I68" s="40"/>
      <c r="J68" s="41" t="str">
        <f aca="false">IF(G68="","",G68+N(H68)+N(I68))</f>
        <v/>
      </c>
      <c r="K68" s="40"/>
      <c r="L68" s="40"/>
      <c r="M68" s="42"/>
      <c r="N68" s="42"/>
      <c r="O68" s="39"/>
      <c r="P68" s="38"/>
      <c r="Q68" s="38"/>
      <c r="R68" s="43" t="str">
        <f aca="false">IF(OR(P68="",Q68=""),"",P68/(P68+Q68))</f>
        <v/>
      </c>
      <c r="S68" s="41" t="str">
        <f aca="false">IF(OR(K68="",G68=""),"",K68+N(L68))</f>
        <v/>
      </c>
      <c r="T68" s="41" t="str">
        <f aca="false">IF(OR(K68="",G68=""),"",S68*Settings!$B$10)</f>
        <v/>
      </c>
      <c r="U68" s="41" t="str">
        <f aca="false">IF(OR(K68="",G68=""),"",(S68+T68)*IF(N68="",Settings!$B$5,N68))</f>
        <v/>
      </c>
      <c r="V68" s="41" t="str">
        <f aca="false">IF(OR(K68="",G68=""),"",IF(S68+T68&lt;=Settings!$B$8,Settings!$B$6,Settings!$B$7))</f>
        <v/>
      </c>
      <c r="W68" s="41" t="str">
        <f aca="false">IF(OR(K68="",G68=""),"",S68*IF(UPPER(O68)="Y",Settings!$B$9,0))</f>
        <v/>
      </c>
      <c r="X68" s="41" t="str">
        <f aca="false">IF(OR(K68="",G68=""),"",(S68+T68)*IF(M68="",Settings!$B$11,M68))</f>
        <v/>
      </c>
      <c r="Y68" s="41" t="str">
        <f aca="false">IF(OR(K68="",G68=""),"",U68+V68+W68+X68)</f>
        <v/>
      </c>
      <c r="Z68" s="41" t="str">
        <f aca="false">IF(OR(K68="",G68=""),"",S68-Y68)</f>
        <v/>
      </c>
      <c r="AA68" s="41" t="str">
        <f aca="false">IF(OR(K68="",G68=""),"",Z68*Settings!$B$12)</f>
        <v/>
      </c>
      <c r="AB68" s="41" t="str">
        <f aca="false">IF(OR(K68="",G68=""),"",S68*Settings!$B$13)</f>
        <v/>
      </c>
      <c r="AC68" s="44" t="str">
        <f aca="false">IF(OR(K68="",G68=""),"",Z68-AA68-AB68-J68)</f>
        <v/>
      </c>
      <c r="AD68" s="45" t="str">
        <f aca="false">IF(OR(K68="",G68=""),"",AC68*Settings!$B$14)</f>
        <v/>
      </c>
      <c r="AE68" s="43" t="str">
        <f aca="false">IF(OR(K68="",G68=""),"",IF(S68=0,"",AC68/S68))</f>
        <v/>
      </c>
      <c r="AF68" s="43" t="str">
        <f aca="false">IF(OR(K68="",G68=""),"",IF(J68=0,"",AC68/J68))</f>
        <v/>
      </c>
      <c r="AG68" s="41" t="str">
        <f aca="false">IF(OR(K68="",G68=""),"",(J68+V68)/(1-(1+Settings!$B$10)*(IF(N68="",Settings!$B$5,N68)+IF(M68="",Settings!$B$11,M68))-IF(UPPER(O68)="Y",Settings!$B$9,0)-Settings!$B$13-Settings!$B$12)-N(L68))</f>
        <v/>
      </c>
      <c r="AH68" s="41" t="str">
        <f aca="false">IF(OR(K68="",G68=""),"",(J68+V68+Settings!$B$15)/(1-(1+Settings!$B$10)*(IF(N68="",Settings!$B$5,N68)+IF(M68="",Settings!$B$11,M68))-IF(UPPER(O68)="Y",Settings!$B$9,0)-Settings!$B$13-Settings!$B$12)-N(L68))</f>
        <v/>
      </c>
      <c r="AI68" s="46" t="str">
        <f aca="false">IF(C68="","",IF(OR(ISNUMBER(SEARCH("amazon",C68)),ISNUMBER(SEARCH("walmart",C68)),ISNUMBER(SEARCH("aliexpress",C68)),ISNUMBER(SEARCH("temu",C68))),"⚠ Retail source — not allowed","✓ Wholesale / own stock"))</f>
        <v/>
      </c>
      <c r="AJ68" s="47" t="str">
        <f aca="false">IF(OR(K68="",G68=""),"",IF(LEFT(AI68,1)="⚠","❌ SKIP",IF(AND(AC68&gt;=Settings!$B$15,AF68&gt;=Settings!$B$16,OR(R68="",N(R68)&gt;=Settings!$B$17)),"✅ GO",IF(AC68&gt;0,"⚠ CHECK","❌ SKIP"))))</f>
        <v/>
      </c>
      <c r="AK68" s="38"/>
    </row>
    <row r="69" customFormat="false" ht="15" hidden="false" customHeight="false" outlineLevel="0" collapsed="false">
      <c r="A69" s="37" t="str">
        <f aca="false">IF(B69="","",ROW()-4)</f>
        <v/>
      </c>
      <c r="B69" s="38"/>
      <c r="C69" s="39"/>
      <c r="D69" s="38"/>
      <c r="E69" s="38"/>
      <c r="F69" s="38"/>
      <c r="G69" s="40"/>
      <c r="H69" s="40"/>
      <c r="I69" s="40"/>
      <c r="J69" s="41" t="str">
        <f aca="false">IF(G69="","",G69+N(H69)+N(I69))</f>
        <v/>
      </c>
      <c r="K69" s="40"/>
      <c r="L69" s="40"/>
      <c r="M69" s="42"/>
      <c r="N69" s="42"/>
      <c r="O69" s="39"/>
      <c r="P69" s="38"/>
      <c r="Q69" s="38"/>
      <c r="R69" s="43" t="str">
        <f aca="false">IF(OR(P69="",Q69=""),"",P69/(P69+Q69))</f>
        <v/>
      </c>
      <c r="S69" s="41" t="str">
        <f aca="false">IF(OR(K69="",G69=""),"",K69+N(L69))</f>
        <v/>
      </c>
      <c r="T69" s="41" t="str">
        <f aca="false">IF(OR(K69="",G69=""),"",S69*Settings!$B$10)</f>
        <v/>
      </c>
      <c r="U69" s="41" t="str">
        <f aca="false">IF(OR(K69="",G69=""),"",(S69+T69)*IF(N69="",Settings!$B$5,N69))</f>
        <v/>
      </c>
      <c r="V69" s="41" t="str">
        <f aca="false">IF(OR(K69="",G69=""),"",IF(S69+T69&lt;=Settings!$B$8,Settings!$B$6,Settings!$B$7))</f>
        <v/>
      </c>
      <c r="W69" s="41" t="str">
        <f aca="false">IF(OR(K69="",G69=""),"",S69*IF(UPPER(O69)="Y",Settings!$B$9,0))</f>
        <v/>
      </c>
      <c r="X69" s="41" t="str">
        <f aca="false">IF(OR(K69="",G69=""),"",(S69+T69)*IF(M69="",Settings!$B$11,M69))</f>
        <v/>
      </c>
      <c r="Y69" s="41" t="str">
        <f aca="false">IF(OR(K69="",G69=""),"",U69+V69+W69+X69)</f>
        <v/>
      </c>
      <c r="Z69" s="41" t="str">
        <f aca="false">IF(OR(K69="",G69=""),"",S69-Y69)</f>
        <v/>
      </c>
      <c r="AA69" s="41" t="str">
        <f aca="false">IF(OR(K69="",G69=""),"",Z69*Settings!$B$12)</f>
        <v/>
      </c>
      <c r="AB69" s="41" t="str">
        <f aca="false">IF(OR(K69="",G69=""),"",S69*Settings!$B$13)</f>
        <v/>
      </c>
      <c r="AC69" s="44" t="str">
        <f aca="false">IF(OR(K69="",G69=""),"",Z69-AA69-AB69-J69)</f>
        <v/>
      </c>
      <c r="AD69" s="45" t="str">
        <f aca="false">IF(OR(K69="",G69=""),"",AC69*Settings!$B$14)</f>
        <v/>
      </c>
      <c r="AE69" s="43" t="str">
        <f aca="false">IF(OR(K69="",G69=""),"",IF(S69=0,"",AC69/S69))</f>
        <v/>
      </c>
      <c r="AF69" s="43" t="str">
        <f aca="false">IF(OR(K69="",G69=""),"",IF(J69=0,"",AC69/J69))</f>
        <v/>
      </c>
      <c r="AG69" s="41" t="str">
        <f aca="false">IF(OR(K69="",G69=""),"",(J69+V69)/(1-(1+Settings!$B$10)*(IF(N69="",Settings!$B$5,N69)+IF(M69="",Settings!$B$11,M69))-IF(UPPER(O69)="Y",Settings!$B$9,0)-Settings!$B$13-Settings!$B$12)-N(L69))</f>
        <v/>
      </c>
      <c r="AH69" s="41" t="str">
        <f aca="false">IF(OR(K69="",G69=""),"",(J69+V69+Settings!$B$15)/(1-(1+Settings!$B$10)*(IF(N69="",Settings!$B$5,N69)+IF(M69="",Settings!$B$11,M69))-IF(UPPER(O69)="Y",Settings!$B$9,0)-Settings!$B$13-Settings!$B$12)-N(L69))</f>
        <v/>
      </c>
      <c r="AI69" s="46" t="str">
        <f aca="false">IF(C69="","",IF(OR(ISNUMBER(SEARCH("amazon",C69)),ISNUMBER(SEARCH("walmart",C69)),ISNUMBER(SEARCH("aliexpress",C69)),ISNUMBER(SEARCH("temu",C69))),"⚠ Retail source — not allowed","✓ Wholesale / own stock"))</f>
        <v/>
      </c>
      <c r="AJ69" s="47" t="str">
        <f aca="false">IF(OR(K69="",G69=""),"",IF(LEFT(AI69,1)="⚠","❌ SKIP",IF(AND(AC69&gt;=Settings!$B$15,AF69&gt;=Settings!$B$16,OR(R69="",N(R69)&gt;=Settings!$B$17)),"✅ GO",IF(AC69&gt;0,"⚠ CHECK","❌ SKIP"))))</f>
        <v/>
      </c>
      <c r="AK69" s="38"/>
    </row>
    <row r="70" customFormat="false" ht="15" hidden="false" customHeight="false" outlineLevel="0" collapsed="false">
      <c r="A70" s="37" t="str">
        <f aca="false">IF(B70="","",ROW()-4)</f>
        <v/>
      </c>
      <c r="B70" s="38"/>
      <c r="C70" s="39"/>
      <c r="D70" s="38"/>
      <c r="E70" s="38"/>
      <c r="F70" s="38"/>
      <c r="G70" s="40"/>
      <c r="H70" s="40"/>
      <c r="I70" s="40"/>
      <c r="J70" s="41" t="str">
        <f aca="false">IF(G70="","",G70+N(H70)+N(I70))</f>
        <v/>
      </c>
      <c r="K70" s="40"/>
      <c r="L70" s="40"/>
      <c r="M70" s="42"/>
      <c r="N70" s="42"/>
      <c r="O70" s="39"/>
      <c r="P70" s="38"/>
      <c r="Q70" s="38"/>
      <c r="R70" s="43" t="str">
        <f aca="false">IF(OR(P70="",Q70=""),"",P70/(P70+Q70))</f>
        <v/>
      </c>
      <c r="S70" s="41" t="str">
        <f aca="false">IF(OR(K70="",G70=""),"",K70+N(L70))</f>
        <v/>
      </c>
      <c r="T70" s="41" t="str">
        <f aca="false">IF(OR(K70="",G70=""),"",S70*Settings!$B$10)</f>
        <v/>
      </c>
      <c r="U70" s="41" t="str">
        <f aca="false">IF(OR(K70="",G70=""),"",(S70+T70)*IF(N70="",Settings!$B$5,N70))</f>
        <v/>
      </c>
      <c r="V70" s="41" t="str">
        <f aca="false">IF(OR(K70="",G70=""),"",IF(S70+T70&lt;=Settings!$B$8,Settings!$B$6,Settings!$B$7))</f>
        <v/>
      </c>
      <c r="W70" s="41" t="str">
        <f aca="false">IF(OR(K70="",G70=""),"",S70*IF(UPPER(O70)="Y",Settings!$B$9,0))</f>
        <v/>
      </c>
      <c r="X70" s="41" t="str">
        <f aca="false">IF(OR(K70="",G70=""),"",(S70+T70)*IF(M70="",Settings!$B$11,M70))</f>
        <v/>
      </c>
      <c r="Y70" s="41" t="str">
        <f aca="false">IF(OR(K70="",G70=""),"",U70+V70+W70+X70)</f>
        <v/>
      </c>
      <c r="Z70" s="41" t="str">
        <f aca="false">IF(OR(K70="",G70=""),"",S70-Y70)</f>
        <v/>
      </c>
      <c r="AA70" s="41" t="str">
        <f aca="false">IF(OR(K70="",G70=""),"",Z70*Settings!$B$12)</f>
        <v/>
      </c>
      <c r="AB70" s="41" t="str">
        <f aca="false">IF(OR(K70="",G70=""),"",S70*Settings!$B$13)</f>
        <v/>
      </c>
      <c r="AC70" s="44" t="str">
        <f aca="false">IF(OR(K70="",G70=""),"",Z70-AA70-AB70-J70)</f>
        <v/>
      </c>
      <c r="AD70" s="45" t="str">
        <f aca="false">IF(OR(K70="",G70=""),"",AC70*Settings!$B$14)</f>
        <v/>
      </c>
      <c r="AE70" s="43" t="str">
        <f aca="false">IF(OR(K70="",G70=""),"",IF(S70=0,"",AC70/S70))</f>
        <v/>
      </c>
      <c r="AF70" s="43" t="str">
        <f aca="false">IF(OR(K70="",G70=""),"",IF(J70=0,"",AC70/J70))</f>
        <v/>
      </c>
      <c r="AG70" s="41" t="str">
        <f aca="false">IF(OR(K70="",G70=""),"",(J70+V70)/(1-(1+Settings!$B$10)*(IF(N70="",Settings!$B$5,N70)+IF(M70="",Settings!$B$11,M70))-IF(UPPER(O70)="Y",Settings!$B$9,0)-Settings!$B$13-Settings!$B$12)-N(L70))</f>
        <v/>
      </c>
      <c r="AH70" s="41" t="str">
        <f aca="false">IF(OR(K70="",G70=""),"",(J70+V70+Settings!$B$15)/(1-(1+Settings!$B$10)*(IF(N70="",Settings!$B$5,N70)+IF(M70="",Settings!$B$11,M70))-IF(UPPER(O70)="Y",Settings!$B$9,0)-Settings!$B$13-Settings!$B$12)-N(L70))</f>
        <v/>
      </c>
      <c r="AI70" s="46" t="str">
        <f aca="false">IF(C70="","",IF(OR(ISNUMBER(SEARCH("amazon",C70)),ISNUMBER(SEARCH("walmart",C70)),ISNUMBER(SEARCH("aliexpress",C70)),ISNUMBER(SEARCH("temu",C70))),"⚠ Retail source — not allowed","✓ Wholesale / own stock"))</f>
        <v/>
      </c>
      <c r="AJ70" s="47" t="str">
        <f aca="false">IF(OR(K70="",G70=""),"",IF(LEFT(AI70,1)="⚠","❌ SKIP",IF(AND(AC70&gt;=Settings!$B$15,AF70&gt;=Settings!$B$16,OR(R70="",N(R70)&gt;=Settings!$B$17)),"✅ GO",IF(AC70&gt;0,"⚠ CHECK","❌ SKIP"))))</f>
        <v/>
      </c>
      <c r="AK70" s="38"/>
    </row>
    <row r="71" customFormat="false" ht="15" hidden="false" customHeight="false" outlineLevel="0" collapsed="false">
      <c r="A71" s="37" t="str">
        <f aca="false">IF(B71="","",ROW()-4)</f>
        <v/>
      </c>
      <c r="B71" s="38"/>
      <c r="C71" s="39"/>
      <c r="D71" s="38"/>
      <c r="E71" s="38"/>
      <c r="F71" s="38"/>
      <c r="G71" s="40"/>
      <c r="H71" s="40"/>
      <c r="I71" s="40"/>
      <c r="J71" s="41" t="str">
        <f aca="false">IF(G71="","",G71+N(H71)+N(I71))</f>
        <v/>
      </c>
      <c r="K71" s="40"/>
      <c r="L71" s="40"/>
      <c r="M71" s="42"/>
      <c r="N71" s="42"/>
      <c r="O71" s="39"/>
      <c r="P71" s="38"/>
      <c r="Q71" s="38"/>
      <c r="R71" s="43" t="str">
        <f aca="false">IF(OR(P71="",Q71=""),"",P71/(P71+Q71))</f>
        <v/>
      </c>
      <c r="S71" s="41" t="str">
        <f aca="false">IF(OR(K71="",G71=""),"",K71+N(L71))</f>
        <v/>
      </c>
      <c r="T71" s="41" t="str">
        <f aca="false">IF(OR(K71="",G71=""),"",S71*Settings!$B$10)</f>
        <v/>
      </c>
      <c r="U71" s="41" t="str">
        <f aca="false">IF(OR(K71="",G71=""),"",(S71+T71)*IF(N71="",Settings!$B$5,N71))</f>
        <v/>
      </c>
      <c r="V71" s="41" t="str">
        <f aca="false">IF(OR(K71="",G71=""),"",IF(S71+T71&lt;=Settings!$B$8,Settings!$B$6,Settings!$B$7))</f>
        <v/>
      </c>
      <c r="W71" s="41" t="str">
        <f aca="false">IF(OR(K71="",G71=""),"",S71*IF(UPPER(O71)="Y",Settings!$B$9,0))</f>
        <v/>
      </c>
      <c r="X71" s="41" t="str">
        <f aca="false">IF(OR(K71="",G71=""),"",(S71+T71)*IF(M71="",Settings!$B$11,M71))</f>
        <v/>
      </c>
      <c r="Y71" s="41" t="str">
        <f aca="false">IF(OR(K71="",G71=""),"",U71+V71+W71+X71)</f>
        <v/>
      </c>
      <c r="Z71" s="41" t="str">
        <f aca="false">IF(OR(K71="",G71=""),"",S71-Y71)</f>
        <v/>
      </c>
      <c r="AA71" s="41" t="str">
        <f aca="false">IF(OR(K71="",G71=""),"",Z71*Settings!$B$12)</f>
        <v/>
      </c>
      <c r="AB71" s="41" t="str">
        <f aca="false">IF(OR(K71="",G71=""),"",S71*Settings!$B$13)</f>
        <v/>
      </c>
      <c r="AC71" s="44" t="str">
        <f aca="false">IF(OR(K71="",G71=""),"",Z71-AA71-AB71-J71)</f>
        <v/>
      </c>
      <c r="AD71" s="45" t="str">
        <f aca="false">IF(OR(K71="",G71=""),"",AC71*Settings!$B$14)</f>
        <v/>
      </c>
      <c r="AE71" s="43" t="str">
        <f aca="false">IF(OR(K71="",G71=""),"",IF(S71=0,"",AC71/S71))</f>
        <v/>
      </c>
      <c r="AF71" s="43" t="str">
        <f aca="false">IF(OR(K71="",G71=""),"",IF(J71=0,"",AC71/J71))</f>
        <v/>
      </c>
      <c r="AG71" s="41" t="str">
        <f aca="false">IF(OR(K71="",G71=""),"",(J71+V71)/(1-(1+Settings!$B$10)*(IF(N71="",Settings!$B$5,N71)+IF(M71="",Settings!$B$11,M71))-IF(UPPER(O71)="Y",Settings!$B$9,0)-Settings!$B$13-Settings!$B$12)-N(L71))</f>
        <v/>
      </c>
      <c r="AH71" s="41" t="str">
        <f aca="false">IF(OR(K71="",G71=""),"",(J71+V71+Settings!$B$15)/(1-(1+Settings!$B$10)*(IF(N71="",Settings!$B$5,N71)+IF(M71="",Settings!$B$11,M71))-IF(UPPER(O71)="Y",Settings!$B$9,0)-Settings!$B$13-Settings!$B$12)-N(L71))</f>
        <v/>
      </c>
      <c r="AI71" s="46" t="str">
        <f aca="false">IF(C71="","",IF(OR(ISNUMBER(SEARCH("amazon",C71)),ISNUMBER(SEARCH("walmart",C71)),ISNUMBER(SEARCH("aliexpress",C71)),ISNUMBER(SEARCH("temu",C71))),"⚠ Retail source — not allowed","✓ Wholesale / own stock"))</f>
        <v/>
      </c>
      <c r="AJ71" s="47" t="str">
        <f aca="false">IF(OR(K71="",G71=""),"",IF(LEFT(AI71,1)="⚠","❌ SKIP",IF(AND(AC71&gt;=Settings!$B$15,AF71&gt;=Settings!$B$16,OR(R71="",N(R71)&gt;=Settings!$B$17)),"✅ GO",IF(AC71&gt;0,"⚠ CHECK","❌ SKIP"))))</f>
        <v/>
      </c>
      <c r="AK71" s="38"/>
    </row>
    <row r="72" customFormat="false" ht="15" hidden="false" customHeight="false" outlineLevel="0" collapsed="false">
      <c r="A72" s="37" t="str">
        <f aca="false">IF(B72="","",ROW()-4)</f>
        <v/>
      </c>
      <c r="B72" s="38"/>
      <c r="C72" s="39"/>
      <c r="D72" s="38"/>
      <c r="E72" s="38"/>
      <c r="F72" s="38"/>
      <c r="G72" s="40"/>
      <c r="H72" s="40"/>
      <c r="I72" s="40"/>
      <c r="J72" s="41" t="str">
        <f aca="false">IF(G72="","",G72+N(H72)+N(I72))</f>
        <v/>
      </c>
      <c r="K72" s="40"/>
      <c r="L72" s="40"/>
      <c r="M72" s="42"/>
      <c r="N72" s="42"/>
      <c r="O72" s="39"/>
      <c r="P72" s="38"/>
      <c r="Q72" s="38"/>
      <c r="R72" s="43" t="str">
        <f aca="false">IF(OR(P72="",Q72=""),"",P72/(P72+Q72))</f>
        <v/>
      </c>
      <c r="S72" s="41" t="str">
        <f aca="false">IF(OR(K72="",G72=""),"",K72+N(L72))</f>
        <v/>
      </c>
      <c r="T72" s="41" t="str">
        <f aca="false">IF(OR(K72="",G72=""),"",S72*Settings!$B$10)</f>
        <v/>
      </c>
      <c r="U72" s="41" t="str">
        <f aca="false">IF(OR(K72="",G72=""),"",(S72+T72)*IF(N72="",Settings!$B$5,N72))</f>
        <v/>
      </c>
      <c r="V72" s="41" t="str">
        <f aca="false">IF(OR(K72="",G72=""),"",IF(S72+T72&lt;=Settings!$B$8,Settings!$B$6,Settings!$B$7))</f>
        <v/>
      </c>
      <c r="W72" s="41" t="str">
        <f aca="false">IF(OR(K72="",G72=""),"",S72*IF(UPPER(O72)="Y",Settings!$B$9,0))</f>
        <v/>
      </c>
      <c r="X72" s="41" t="str">
        <f aca="false">IF(OR(K72="",G72=""),"",(S72+T72)*IF(M72="",Settings!$B$11,M72))</f>
        <v/>
      </c>
      <c r="Y72" s="41" t="str">
        <f aca="false">IF(OR(K72="",G72=""),"",U72+V72+W72+X72)</f>
        <v/>
      </c>
      <c r="Z72" s="41" t="str">
        <f aca="false">IF(OR(K72="",G72=""),"",S72-Y72)</f>
        <v/>
      </c>
      <c r="AA72" s="41" t="str">
        <f aca="false">IF(OR(K72="",G72=""),"",Z72*Settings!$B$12)</f>
        <v/>
      </c>
      <c r="AB72" s="41" t="str">
        <f aca="false">IF(OR(K72="",G72=""),"",S72*Settings!$B$13)</f>
        <v/>
      </c>
      <c r="AC72" s="44" t="str">
        <f aca="false">IF(OR(K72="",G72=""),"",Z72-AA72-AB72-J72)</f>
        <v/>
      </c>
      <c r="AD72" s="45" t="str">
        <f aca="false">IF(OR(K72="",G72=""),"",AC72*Settings!$B$14)</f>
        <v/>
      </c>
      <c r="AE72" s="43" t="str">
        <f aca="false">IF(OR(K72="",G72=""),"",IF(S72=0,"",AC72/S72))</f>
        <v/>
      </c>
      <c r="AF72" s="43" t="str">
        <f aca="false">IF(OR(K72="",G72=""),"",IF(J72=0,"",AC72/J72))</f>
        <v/>
      </c>
      <c r="AG72" s="41" t="str">
        <f aca="false">IF(OR(K72="",G72=""),"",(J72+V72)/(1-(1+Settings!$B$10)*(IF(N72="",Settings!$B$5,N72)+IF(M72="",Settings!$B$11,M72))-IF(UPPER(O72)="Y",Settings!$B$9,0)-Settings!$B$13-Settings!$B$12)-N(L72))</f>
        <v/>
      </c>
      <c r="AH72" s="41" t="str">
        <f aca="false">IF(OR(K72="",G72=""),"",(J72+V72+Settings!$B$15)/(1-(1+Settings!$B$10)*(IF(N72="",Settings!$B$5,N72)+IF(M72="",Settings!$B$11,M72))-IF(UPPER(O72)="Y",Settings!$B$9,0)-Settings!$B$13-Settings!$B$12)-N(L72))</f>
        <v/>
      </c>
      <c r="AI72" s="46" t="str">
        <f aca="false">IF(C72="","",IF(OR(ISNUMBER(SEARCH("amazon",C72)),ISNUMBER(SEARCH("walmart",C72)),ISNUMBER(SEARCH("aliexpress",C72)),ISNUMBER(SEARCH("temu",C72))),"⚠ Retail source — not allowed","✓ Wholesale / own stock"))</f>
        <v/>
      </c>
      <c r="AJ72" s="47" t="str">
        <f aca="false">IF(OR(K72="",G72=""),"",IF(LEFT(AI72,1)="⚠","❌ SKIP",IF(AND(AC72&gt;=Settings!$B$15,AF72&gt;=Settings!$B$16,OR(R72="",N(R72)&gt;=Settings!$B$17)),"✅ GO",IF(AC72&gt;0,"⚠ CHECK","❌ SKIP"))))</f>
        <v/>
      </c>
      <c r="AK72" s="38"/>
    </row>
    <row r="73" customFormat="false" ht="15" hidden="false" customHeight="false" outlineLevel="0" collapsed="false">
      <c r="A73" s="37" t="str">
        <f aca="false">IF(B73="","",ROW()-4)</f>
        <v/>
      </c>
      <c r="B73" s="38"/>
      <c r="C73" s="39"/>
      <c r="D73" s="38"/>
      <c r="E73" s="38"/>
      <c r="F73" s="38"/>
      <c r="G73" s="40"/>
      <c r="H73" s="40"/>
      <c r="I73" s="40"/>
      <c r="J73" s="41" t="str">
        <f aca="false">IF(G73="","",G73+N(H73)+N(I73))</f>
        <v/>
      </c>
      <c r="K73" s="40"/>
      <c r="L73" s="40"/>
      <c r="M73" s="42"/>
      <c r="N73" s="42"/>
      <c r="O73" s="39"/>
      <c r="P73" s="38"/>
      <c r="Q73" s="38"/>
      <c r="R73" s="43" t="str">
        <f aca="false">IF(OR(P73="",Q73=""),"",P73/(P73+Q73))</f>
        <v/>
      </c>
      <c r="S73" s="41" t="str">
        <f aca="false">IF(OR(K73="",G73=""),"",K73+N(L73))</f>
        <v/>
      </c>
      <c r="T73" s="41" t="str">
        <f aca="false">IF(OR(K73="",G73=""),"",S73*Settings!$B$10)</f>
        <v/>
      </c>
      <c r="U73" s="41" t="str">
        <f aca="false">IF(OR(K73="",G73=""),"",(S73+T73)*IF(N73="",Settings!$B$5,N73))</f>
        <v/>
      </c>
      <c r="V73" s="41" t="str">
        <f aca="false">IF(OR(K73="",G73=""),"",IF(S73+T73&lt;=Settings!$B$8,Settings!$B$6,Settings!$B$7))</f>
        <v/>
      </c>
      <c r="W73" s="41" t="str">
        <f aca="false">IF(OR(K73="",G73=""),"",S73*IF(UPPER(O73)="Y",Settings!$B$9,0))</f>
        <v/>
      </c>
      <c r="X73" s="41" t="str">
        <f aca="false">IF(OR(K73="",G73=""),"",(S73+T73)*IF(M73="",Settings!$B$11,M73))</f>
        <v/>
      </c>
      <c r="Y73" s="41" t="str">
        <f aca="false">IF(OR(K73="",G73=""),"",U73+V73+W73+X73)</f>
        <v/>
      </c>
      <c r="Z73" s="41" t="str">
        <f aca="false">IF(OR(K73="",G73=""),"",S73-Y73)</f>
        <v/>
      </c>
      <c r="AA73" s="41" t="str">
        <f aca="false">IF(OR(K73="",G73=""),"",Z73*Settings!$B$12)</f>
        <v/>
      </c>
      <c r="AB73" s="41" t="str">
        <f aca="false">IF(OR(K73="",G73=""),"",S73*Settings!$B$13)</f>
        <v/>
      </c>
      <c r="AC73" s="44" t="str">
        <f aca="false">IF(OR(K73="",G73=""),"",Z73-AA73-AB73-J73)</f>
        <v/>
      </c>
      <c r="AD73" s="45" t="str">
        <f aca="false">IF(OR(K73="",G73=""),"",AC73*Settings!$B$14)</f>
        <v/>
      </c>
      <c r="AE73" s="43" t="str">
        <f aca="false">IF(OR(K73="",G73=""),"",IF(S73=0,"",AC73/S73))</f>
        <v/>
      </c>
      <c r="AF73" s="43" t="str">
        <f aca="false">IF(OR(K73="",G73=""),"",IF(J73=0,"",AC73/J73))</f>
        <v/>
      </c>
      <c r="AG73" s="41" t="str">
        <f aca="false">IF(OR(K73="",G73=""),"",(J73+V73)/(1-(1+Settings!$B$10)*(IF(N73="",Settings!$B$5,N73)+IF(M73="",Settings!$B$11,M73))-IF(UPPER(O73)="Y",Settings!$B$9,0)-Settings!$B$13-Settings!$B$12)-N(L73))</f>
        <v/>
      </c>
      <c r="AH73" s="41" t="str">
        <f aca="false">IF(OR(K73="",G73=""),"",(J73+V73+Settings!$B$15)/(1-(1+Settings!$B$10)*(IF(N73="",Settings!$B$5,N73)+IF(M73="",Settings!$B$11,M73))-IF(UPPER(O73)="Y",Settings!$B$9,0)-Settings!$B$13-Settings!$B$12)-N(L73))</f>
        <v/>
      </c>
      <c r="AI73" s="46" t="str">
        <f aca="false">IF(C73="","",IF(OR(ISNUMBER(SEARCH("amazon",C73)),ISNUMBER(SEARCH("walmart",C73)),ISNUMBER(SEARCH("aliexpress",C73)),ISNUMBER(SEARCH("temu",C73))),"⚠ Retail source — not allowed","✓ Wholesale / own stock"))</f>
        <v/>
      </c>
      <c r="AJ73" s="47" t="str">
        <f aca="false">IF(OR(K73="",G73=""),"",IF(LEFT(AI73,1)="⚠","❌ SKIP",IF(AND(AC73&gt;=Settings!$B$15,AF73&gt;=Settings!$B$16,OR(R73="",N(R73)&gt;=Settings!$B$17)),"✅ GO",IF(AC73&gt;0,"⚠ CHECK","❌ SKIP"))))</f>
        <v/>
      </c>
      <c r="AK73" s="38"/>
    </row>
    <row r="74" customFormat="false" ht="15" hidden="false" customHeight="false" outlineLevel="0" collapsed="false">
      <c r="A74" s="37" t="str">
        <f aca="false">IF(B74="","",ROW()-4)</f>
        <v/>
      </c>
      <c r="B74" s="38"/>
      <c r="C74" s="39"/>
      <c r="D74" s="38"/>
      <c r="E74" s="38"/>
      <c r="F74" s="38"/>
      <c r="G74" s="40"/>
      <c r="H74" s="40"/>
      <c r="I74" s="40"/>
      <c r="J74" s="41" t="str">
        <f aca="false">IF(G74="","",G74+N(H74)+N(I74))</f>
        <v/>
      </c>
      <c r="K74" s="40"/>
      <c r="L74" s="40"/>
      <c r="M74" s="42"/>
      <c r="N74" s="42"/>
      <c r="O74" s="39"/>
      <c r="P74" s="38"/>
      <c r="Q74" s="38"/>
      <c r="R74" s="43" t="str">
        <f aca="false">IF(OR(P74="",Q74=""),"",P74/(P74+Q74))</f>
        <v/>
      </c>
      <c r="S74" s="41" t="str">
        <f aca="false">IF(OR(K74="",G74=""),"",K74+N(L74))</f>
        <v/>
      </c>
      <c r="T74" s="41" t="str">
        <f aca="false">IF(OR(K74="",G74=""),"",S74*Settings!$B$10)</f>
        <v/>
      </c>
      <c r="U74" s="41" t="str">
        <f aca="false">IF(OR(K74="",G74=""),"",(S74+T74)*IF(N74="",Settings!$B$5,N74))</f>
        <v/>
      </c>
      <c r="V74" s="41" t="str">
        <f aca="false">IF(OR(K74="",G74=""),"",IF(S74+T74&lt;=Settings!$B$8,Settings!$B$6,Settings!$B$7))</f>
        <v/>
      </c>
      <c r="W74" s="41" t="str">
        <f aca="false">IF(OR(K74="",G74=""),"",S74*IF(UPPER(O74)="Y",Settings!$B$9,0))</f>
        <v/>
      </c>
      <c r="X74" s="41" t="str">
        <f aca="false">IF(OR(K74="",G74=""),"",(S74+T74)*IF(M74="",Settings!$B$11,M74))</f>
        <v/>
      </c>
      <c r="Y74" s="41" t="str">
        <f aca="false">IF(OR(K74="",G74=""),"",U74+V74+W74+X74)</f>
        <v/>
      </c>
      <c r="Z74" s="41" t="str">
        <f aca="false">IF(OR(K74="",G74=""),"",S74-Y74)</f>
        <v/>
      </c>
      <c r="AA74" s="41" t="str">
        <f aca="false">IF(OR(K74="",G74=""),"",Z74*Settings!$B$12)</f>
        <v/>
      </c>
      <c r="AB74" s="41" t="str">
        <f aca="false">IF(OR(K74="",G74=""),"",S74*Settings!$B$13)</f>
        <v/>
      </c>
      <c r="AC74" s="44" t="str">
        <f aca="false">IF(OR(K74="",G74=""),"",Z74-AA74-AB74-J74)</f>
        <v/>
      </c>
      <c r="AD74" s="45" t="str">
        <f aca="false">IF(OR(K74="",G74=""),"",AC74*Settings!$B$14)</f>
        <v/>
      </c>
      <c r="AE74" s="43" t="str">
        <f aca="false">IF(OR(K74="",G74=""),"",IF(S74=0,"",AC74/S74))</f>
        <v/>
      </c>
      <c r="AF74" s="43" t="str">
        <f aca="false">IF(OR(K74="",G74=""),"",IF(J74=0,"",AC74/J74))</f>
        <v/>
      </c>
      <c r="AG74" s="41" t="str">
        <f aca="false">IF(OR(K74="",G74=""),"",(J74+V74)/(1-(1+Settings!$B$10)*(IF(N74="",Settings!$B$5,N74)+IF(M74="",Settings!$B$11,M74))-IF(UPPER(O74)="Y",Settings!$B$9,0)-Settings!$B$13-Settings!$B$12)-N(L74))</f>
        <v/>
      </c>
      <c r="AH74" s="41" t="str">
        <f aca="false">IF(OR(K74="",G74=""),"",(J74+V74+Settings!$B$15)/(1-(1+Settings!$B$10)*(IF(N74="",Settings!$B$5,N74)+IF(M74="",Settings!$B$11,M74))-IF(UPPER(O74)="Y",Settings!$B$9,0)-Settings!$B$13-Settings!$B$12)-N(L74))</f>
        <v/>
      </c>
      <c r="AI74" s="46" t="str">
        <f aca="false">IF(C74="","",IF(OR(ISNUMBER(SEARCH("amazon",C74)),ISNUMBER(SEARCH("walmart",C74)),ISNUMBER(SEARCH("aliexpress",C74)),ISNUMBER(SEARCH("temu",C74))),"⚠ Retail source — not allowed","✓ Wholesale / own stock"))</f>
        <v/>
      </c>
      <c r="AJ74" s="47" t="str">
        <f aca="false">IF(OR(K74="",G74=""),"",IF(LEFT(AI74,1)="⚠","❌ SKIP",IF(AND(AC74&gt;=Settings!$B$15,AF74&gt;=Settings!$B$16,OR(R74="",N(R74)&gt;=Settings!$B$17)),"✅ GO",IF(AC74&gt;0,"⚠ CHECK","❌ SKIP"))))</f>
        <v/>
      </c>
      <c r="AK74" s="38"/>
    </row>
    <row r="75" customFormat="false" ht="15" hidden="false" customHeight="false" outlineLevel="0" collapsed="false">
      <c r="A75" s="37" t="str">
        <f aca="false">IF(B75="","",ROW()-4)</f>
        <v/>
      </c>
      <c r="B75" s="38"/>
      <c r="C75" s="39"/>
      <c r="D75" s="38"/>
      <c r="E75" s="38"/>
      <c r="F75" s="38"/>
      <c r="G75" s="40"/>
      <c r="H75" s="40"/>
      <c r="I75" s="40"/>
      <c r="J75" s="41" t="str">
        <f aca="false">IF(G75="","",G75+N(H75)+N(I75))</f>
        <v/>
      </c>
      <c r="K75" s="40"/>
      <c r="L75" s="40"/>
      <c r="M75" s="42"/>
      <c r="N75" s="42"/>
      <c r="O75" s="39"/>
      <c r="P75" s="38"/>
      <c r="Q75" s="38"/>
      <c r="R75" s="43" t="str">
        <f aca="false">IF(OR(P75="",Q75=""),"",P75/(P75+Q75))</f>
        <v/>
      </c>
      <c r="S75" s="41" t="str">
        <f aca="false">IF(OR(K75="",G75=""),"",K75+N(L75))</f>
        <v/>
      </c>
      <c r="T75" s="41" t="str">
        <f aca="false">IF(OR(K75="",G75=""),"",S75*Settings!$B$10)</f>
        <v/>
      </c>
      <c r="U75" s="41" t="str">
        <f aca="false">IF(OR(K75="",G75=""),"",(S75+T75)*IF(N75="",Settings!$B$5,N75))</f>
        <v/>
      </c>
      <c r="V75" s="41" t="str">
        <f aca="false">IF(OR(K75="",G75=""),"",IF(S75+T75&lt;=Settings!$B$8,Settings!$B$6,Settings!$B$7))</f>
        <v/>
      </c>
      <c r="W75" s="41" t="str">
        <f aca="false">IF(OR(K75="",G75=""),"",S75*IF(UPPER(O75)="Y",Settings!$B$9,0))</f>
        <v/>
      </c>
      <c r="X75" s="41" t="str">
        <f aca="false">IF(OR(K75="",G75=""),"",(S75+T75)*IF(M75="",Settings!$B$11,M75))</f>
        <v/>
      </c>
      <c r="Y75" s="41" t="str">
        <f aca="false">IF(OR(K75="",G75=""),"",U75+V75+W75+X75)</f>
        <v/>
      </c>
      <c r="Z75" s="41" t="str">
        <f aca="false">IF(OR(K75="",G75=""),"",S75-Y75)</f>
        <v/>
      </c>
      <c r="AA75" s="41" t="str">
        <f aca="false">IF(OR(K75="",G75=""),"",Z75*Settings!$B$12)</f>
        <v/>
      </c>
      <c r="AB75" s="41" t="str">
        <f aca="false">IF(OR(K75="",G75=""),"",S75*Settings!$B$13)</f>
        <v/>
      </c>
      <c r="AC75" s="44" t="str">
        <f aca="false">IF(OR(K75="",G75=""),"",Z75-AA75-AB75-J75)</f>
        <v/>
      </c>
      <c r="AD75" s="45" t="str">
        <f aca="false">IF(OR(K75="",G75=""),"",AC75*Settings!$B$14)</f>
        <v/>
      </c>
      <c r="AE75" s="43" t="str">
        <f aca="false">IF(OR(K75="",G75=""),"",IF(S75=0,"",AC75/S75))</f>
        <v/>
      </c>
      <c r="AF75" s="43" t="str">
        <f aca="false">IF(OR(K75="",G75=""),"",IF(J75=0,"",AC75/J75))</f>
        <v/>
      </c>
      <c r="AG75" s="41" t="str">
        <f aca="false">IF(OR(K75="",G75=""),"",(J75+V75)/(1-(1+Settings!$B$10)*(IF(N75="",Settings!$B$5,N75)+IF(M75="",Settings!$B$11,M75))-IF(UPPER(O75)="Y",Settings!$B$9,0)-Settings!$B$13-Settings!$B$12)-N(L75))</f>
        <v/>
      </c>
      <c r="AH75" s="41" t="str">
        <f aca="false">IF(OR(K75="",G75=""),"",(J75+V75+Settings!$B$15)/(1-(1+Settings!$B$10)*(IF(N75="",Settings!$B$5,N75)+IF(M75="",Settings!$B$11,M75))-IF(UPPER(O75)="Y",Settings!$B$9,0)-Settings!$B$13-Settings!$B$12)-N(L75))</f>
        <v/>
      </c>
      <c r="AI75" s="46" t="str">
        <f aca="false">IF(C75="","",IF(OR(ISNUMBER(SEARCH("amazon",C75)),ISNUMBER(SEARCH("walmart",C75)),ISNUMBER(SEARCH("aliexpress",C75)),ISNUMBER(SEARCH("temu",C75))),"⚠ Retail source — not allowed","✓ Wholesale / own stock"))</f>
        <v/>
      </c>
      <c r="AJ75" s="47" t="str">
        <f aca="false">IF(OR(K75="",G75=""),"",IF(LEFT(AI75,1)="⚠","❌ SKIP",IF(AND(AC75&gt;=Settings!$B$15,AF75&gt;=Settings!$B$16,OR(R75="",N(R75)&gt;=Settings!$B$17)),"✅ GO",IF(AC75&gt;0,"⚠ CHECK","❌ SKIP"))))</f>
        <v/>
      </c>
      <c r="AK75" s="38"/>
    </row>
    <row r="76" customFormat="false" ht="15" hidden="false" customHeight="false" outlineLevel="0" collapsed="false">
      <c r="A76" s="37" t="str">
        <f aca="false">IF(B76="","",ROW()-4)</f>
        <v/>
      </c>
      <c r="B76" s="38"/>
      <c r="C76" s="39"/>
      <c r="D76" s="38"/>
      <c r="E76" s="38"/>
      <c r="F76" s="38"/>
      <c r="G76" s="40"/>
      <c r="H76" s="40"/>
      <c r="I76" s="40"/>
      <c r="J76" s="41" t="str">
        <f aca="false">IF(G76="","",G76+N(H76)+N(I76))</f>
        <v/>
      </c>
      <c r="K76" s="40"/>
      <c r="L76" s="40"/>
      <c r="M76" s="42"/>
      <c r="N76" s="42"/>
      <c r="O76" s="39"/>
      <c r="P76" s="38"/>
      <c r="Q76" s="38"/>
      <c r="R76" s="43" t="str">
        <f aca="false">IF(OR(P76="",Q76=""),"",P76/(P76+Q76))</f>
        <v/>
      </c>
      <c r="S76" s="41" t="str">
        <f aca="false">IF(OR(K76="",G76=""),"",K76+N(L76))</f>
        <v/>
      </c>
      <c r="T76" s="41" t="str">
        <f aca="false">IF(OR(K76="",G76=""),"",S76*Settings!$B$10)</f>
        <v/>
      </c>
      <c r="U76" s="41" t="str">
        <f aca="false">IF(OR(K76="",G76=""),"",(S76+T76)*IF(N76="",Settings!$B$5,N76))</f>
        <v/>
      </c>
      <c r="V76" s="41" t="str">
        <f aca="false">IF(OR(K76="",G76=""),"",IF(S76+T76&lt;=Settings!$B$8,Settings!$B$6,Settings!$B$7))</f>
        <v/>
      </c>
      <c r="W76" s="41" t="str">
        <f aca="false">IF(OR(K76="",G76=""),"",S76*IF(UPPER(O76)="Y",Settings!$B$9,0))</f>
        <v/>
      </c>
      <c r="X76" s="41" t="str">
        <f aca="false">IF(OR(K76="",G76=""),"",(S76+T76)*IF(M76="",Settings!$B$11,M76))</f>
        <v/>
      </c>
      <c r="Y76" s="41" t="str">
        <f aca="false">IF(OR(K76="",G76=""),"",U76+V76+W76+X76)</f>
        <v/>
      </c>
      <c r="Z76" s="41" t="str">
        <f aca="false">IF(OR(K76="",G76=""),"",S76-Y76)</f>
        <v/>
      </c>
      <c r="AA76" s="41" t="str">
        <f aca="false">IF(OR(K76="",G76=""),"",Z76*Settings!$B$12)</f>
        <v/>
      </c>
      <c r="AB76" s="41" t="str">
        <f aca="false">IF(OR(K76="",G76=""),"",S76*Settings!$B$13)</f>
        <v/>
      </c>
      <c r="AC76" s="44" t="str">
        <f aca="false">IF(OR(K76="",G76=""),"",Z76-AA76-AB76-J76)</f>
        <v/>
      </c>
      <c r="AD76" s="45" t="str">
        <f aca="false">IF(OR(K76="",G76=""),"",AC76*Settings!$B$14)</f>
        <v/>
      </c>
      <c r="AE76" s="43" t="str">
        <f aca="false">IF(OR(K76="",G76=""),"",IF(S76=0,"",AC76/S76))</f>
        <v/>
      </c>
      <c r="AF76" s="43" t="str">
        <f aca="false">IF(OR(K76="",G76=""),"",IF(J76=0,"",AC76/J76))</f>
        <v/>
      </c>
      <c r="AG76" s="41" t="str">
        <f aca="false">IF(OR(K76="",G76=""),"",(J76+V76)/(1-(1+Settings!$B$10)*(IF(N76="",Settings!$B$5,N76)+IF(M76="",Settings!$B$11,M76))-IF(UPPER(O76)="Y",Settings!$B$9,0)-Settings!$B$13-Settings!$B$12)-N(L76))</f>
        <v/>
      </c>
      <c r="AH76" s="41" t="str">
        <f aca="false">IF(OR(K76="",G76=""),"",(J76+V76+Settings!$B$15)/(1-(1+Settings!$B$10)*(IF(N76="",Settings!$B$5,N76)+IF(M76="",Settings!$B$11,M76))-IF(UPPER(O76)="Y",Settings!$B$9,0)-Settings!$B$13-Settings!$B$12)-N(L76))</f>
        <v/>
      </c>
      <c r="AI76" s="46" t="str">
        <f aca="false">IF(C76="","",IF(OR(ISNUMBER(SEARCH("amazon",C76)),ISNUMBER(SEARCH("walmart",C76)),ISNUMBER(SEARCH("aliexpress",C76)),ISNUMBER(SEARCH("temu",C76))),"⚠ Retail source — not allowed","✓ Wholesale / own stock"))</f>
        <v/>
      </c>
      <c r="AJ76" s="47" t="str">
        <f aca="false">IF(OR(K76="",G76=""),"",IF(LEFT(AI76,1)="⚠","❌ SKIP",IF(AND(AC76&gt;=Settings!$B$15,AF76&gt;=Settings!$B$16,OR(R76="",N(R76)&gt;=Settings!$B$17)),"✅ GO",IF(AC76&gt;0,"⚠ CHECK","❌ SKIP"))))</f>
        <v/>
      </c>
      <c r="AK76" s="38"/>
    </row>
    <row r="77" customFormat="false" ht="15" hidden="false" customHeight="false" outlineLevel="0" collapsed="false">
      <c r="A77" s="37" t="str">
        <f aca="false">IF(B77="","",ROW()-4)</f>
        <v/>
      </c>
      <c r="B77" s="38"/>
      <c r="C77" s="39"/>
      <c r="D77" s="38"/>
      <c r="E77" s="38"/>
      <c r="F77" s="38"/>
      <c r="G77" s="40"/>
      <c r="H77" s="40"/>
      <c r="I77" s="40"/>
      <c r="J77" s="41" t="str">
        <f aca="false">IF(G77="","",G77+N(H77)+N(I77))</f>
        <v/>
      </c>
      <c r="K77" s="40"/>
      <c r="L77" s="40"/>
      <c r="M77" s="42"/>
      <c r="N77" s="42"/>
      <c r="O77" s="39"/>
      <c r="P77" s="38"/>
      <c r="Q77" s="38"/>
      <c r="R77" s="43" t="str">
        <f aca="false">IF(OR(P77="",Q77=""),"",P77/(P77+Q77))</f>
        <v/>
      </c>
      <c r="S77" s="41" t="str">
        <f aca="false">IF(OR(K77="",G77=""),"",K77+N(L77))</f>
        <v/>
      </c>
      <c r="T77" s="41" t="str">
        <f aca="false">IF(OR(K77="",G77=""),"",S77*Settings!$B$10)</f>
        <v/>
      </c>
      <c r="U77" s="41" t="str">
        <f aca="false">IF(OR(K77="",G77=""),"",(S77+T77)*IF(N77="",Settings!$B$5,N77))</f>
        <v/>
      </c>
      <c r="V77" s="41" t="str">
        <f aca="false">IF(OR(K77="",G77=""),"",IF(S77+T77&lt;=Settings!$B$8,Settings!$B$6,Settings!$B$7))</f>
        <v/>
      </c>
      <c r="W77" s="41" t="str">
        <f aca="false">IF(OR(K77="",G77=""),"",S77*IF(UPPER(O77)="Y",Settings!$B$9,0))</f>
        <v/>
      </c>
      <c r="X77" s="41" t="str">
        <f aca="false">IF(OR(K77="",G77=""),"",(S77+T77)*IF(M77="",Settings!$B$11,M77))</f>
        <v/>
      </c>
      <c r="Y77" s="41" t="str">
        <f aca="false">IF(OR(K77="",G77=""),"",U77+V77+W77+X77)</f>
        <v/>
      </c>
      <c r="Z77" s="41" t="str">
        <f aca="false">IF(OR(K77="",G77=""),"",S77-Y77)</f>
        <v/>
      </c>
      <c r="AA77" s="41" t="str">
        <f aca="false">IF(OR(K77="",G77=""),"",Z77*Settings!$B$12)</f>
        <v/>
      </c>
      <c r="AB77" s="41" t="str">
        <f aca="false">IF(OR(K77="",G77=""),"",S77*Settings!$B$13)</f>
        <v/>
      </c>
      <c r="AC77" s="44" t="str">
        <f aca="false">IF(OR(K77="",G77=""),"",Z77-AA77-AB77-J77)</f>
        <v/>
      </c>
      <c r="AD77" s="45" t="str">
        <f aca="false">IF(OR(K77="",G77=""),"",AC77*Settings!$B$14)</f>
        <v/>
      </c>
      <c r="AE77" s="43" t="str">
        <f aca="false">IF(OR(K77="",G77=""),"",IF(S77=0,"",AC77/S77))</f>
        <v/>
      </c>
      <c r="AF77" s="43" t="str">
        <f aca="false">IF(OR(K77="",G77=""),"",IF(J77=0,"",AC77/J77))</f>
        <v/>
      </c>
      <c r="AG77" s="41" t="str">
        <f aca="false">IF(OR(K77="",G77=""),"",(J77+V77)/(1-(1+Settings!$B$10)*(IF(N77="",Settings!$B$5,N77)+IF(M77="",Settings!$B$11,M77))-IF(UPPER(O77)="Y",Settings!$B$9,0)-Settings!$B$13-Settings!$B$12)-N(L77))</f>
        <v/>
      </c>
      <c r="AH77" s="41" t="str">
        <f aca="false">IF(OR(K77="",G77=""),"",(J77+V77+Settings!$B$15)/(1-(1+Settings!$B$10)*(IF(N77="",Settings!$B$5,N77)+IF(M77="",Settings!$B$11,M77))-IF(UPPER(O77)="Y",Settings!$B$9,0)-Settings!$B$13-Settings!$B$12)-N(L77))</f>
        <v/>
      </c>
      <c r="AI77" s="46" t="str">
        <f aca="false">IF(C77="","",IF(OR(ISNUMBER(SEARCH("amazon",C77)),ISNUMBER(SEARCH("walmart",C77)),ISNUMBER(SEARCH("aliexpress",C77)),ISNUMBER(SEARCH("temu",C77))),"⚠ Retail source — not allowed","✓ Wholesale / own stock"))</f>
        <v/>
      </c>
      <c r="AJ77" s="47" t="str">
        <f aca="false">IF(OR(K77="",G77=""),"",IF(LEFT(AI77,1)="⚠","❌ SKIP",IF(AND(AC77&gt;=Settings!$B$15,AF77&gt;=Settings!$B$16,OR(R77="",N(R77)&gt;=Settings!$B$17)),"✅ GO",IF(AC77&gt;0,"⚠ CHECK","❌ SKIP"))))</f>
        <v/>
      </c>
      <c r="AK77" s="38"/>
    </row>
    <row r="78" customFormat="false" ht="15" hidden="false" customHeight="false" outlineLevel="0" collapsed="false">
      <c r="A78" s="37" t="str">
        <f aca="false">IF(B78="","",ROW()-4)</f>
        <v/>
      </c>
      <c r="B78" s="38"/>
      <c r="C78" s="39"/>
      <c r="D78" s="38"/>
      <c r="E78" s="38"/>
      <c r="F78" s="38"/>
      <c r="G78" s="40"/>
      <c r="H78" s="40"/>
      <c r="I78" s="40"/>
      <c r="J78" s="41" t="str">
        <f aca="false">IF(G78="","",G78+N(H78)+N(I78))</f>
        <v/>
      </c>
      <c r="K78" s="40"/>
      <c r="L78" s="40"/>
      <c r="M78" s="42"/>
      <c r="N78" s="42"/>
      <c r="O78" s="39"/>
      <c r="P78" s="38"/>
      <c r="Q78" s="38"/>
      <c r="R78" s="43" t="str">
        <f aca="false">IF(OR(P78="",Q78=""),"",P78/(P78+Q78))</f>
        <v/>
      </c>
      <c r="S78" s="41" t="str">
        <f aca="false">IF(OR(K78="",G78=""),"",K78+N(L78))</f>
        <v/>
      </c>
      <c r="T78" s="41" t="str">
        <f aca="false">IF(OR(K78="",G78=""),"",S78*Settings!$B$10)</f>
        <v/>
      </c>
      <c r="U78" s="41" t="str">
        <f aca="false">IF(OR(K78="",G78=""),"",(S78+T78)*IF(N78="",Settings!$B$5,N78))</f>
        <v/>
      </c>
      <c r="V78" s="41" t="str">
        <f aca="false">IF(OR(K78="",G78=""),"",IF(S78+T78&lt;=Settings!$B$8,Settings!$B$6,Settings!$B$7))</f>
        <v/>
      </c>
      <c r="W78" s="41" t="str">
        <f aca="false">IF(OR(K78="",G78=""),"",S78*IF(UPPER(O78)="Y",Settings!$B$9,0))</f>
        <v/>
      </c>
      <c r="X78" s="41" t="str">
        <f aca="false">IF(OR(K78="",G78=""),"",(S78+T78)*IF(M78="",Settings!$B$11,M78))</f>
        <v/>
      </c>
      <c r="Y78" s="41" t="str">
        <f aca="false">IF(OR(K78="",G78=""),"",U78+V78+W78+X78)</f>
        <v/>
      </c>
      <c r="Z78" s="41" t="str">
        <f aca="false">IF(OR(K78="",G78=""),"",S78-Y78)</f>
        <v/>
      </c>
      <c r="AA78" s="41" t="str">
        <f aca="false">IF(OR(K78="",G78=""),"",Z78*Settings!$B$12)</f>
        <v/>
      </c>
      <c r="AB78" s="41" t="str">
        <f aca="false">IF(OR(K78="",G78=""),"",S78*Settings!$B$13)</f>
        <v/>
      </c>
      <c r="AC78" s="44" t="str">
        <f aca="false">IF(OR(K78="",G78=""),"",Z78-AA78-AB78-J78)</f>
        <v/>
      </c>
      <c r="AD78" s="45" t="str">
        <f aca="false">IF(OR(K78="",G78=""),"",AC78*Settings!$B$14)</f>
        <v/>
      </c>
      <c r="AE78" s="43" t="str">
        <f aca="false">IF(OR(K78="",G78=""),"",IF(S78=0,"",AC78/S78))</f>
        <v/>
      </c>
      <c r="AF78" s="43" t="str">
        <f aca="false">IF(OR(K78="",G78=""),"",IF(J78=0,"",AC78/J78))</f>
        <v/>
      </c>
      <c r="AG78" s="41" t="str">
        <f aca="false">IF(OR(K78="",G78=""),"",(J78+V78)/(1-(1+Settings!$B$10)*(IF(N78="",Settings!$B$5,N78)+IF(M78="",Settings!$B$11,M78))-IF(UPPER(O78)="Y",Settings!$B$9,0)-Settings!$B$13-Settings!$B$12)-N(L78))</f>
        <v/>
      </c>
      <c r="AH78" s="41" t="str">
        <f aca="false">IF(OR(K78="",G78=""),"",(J78+V78+Settings!$B$15)/(1-(1+Settings!$B$10)*(IF(N78="",Settings!$B$5,N78)+IF(M78="",Settings!$B$11,M78))-IF(UPPER(O78)="Y",Settings!$B$9,0)-Settings!$B$13-Settings!$B$12)-N(L78))</f>
        <v/>
      </c>
      <c r="AI78" s="46" t="str">
        <f aca="false">IF(C78="","",IF(OR(ISNUMBER(SEARCH("amazon",C78)),ISNUMBER(SEARCH("walmart",C78)),ISNUMBER(SEARCH("aliexpress",C78)),ISNUMBER(SEARCH("temu",C78))),"⚠ Retail source — not allowed","✓ Wholesale / own stock"))</f>
        <v/>
      </c>
      <c r="AJ78" s="47" t="str">
        <f aca="false">IF(OR(K78="",G78=""),"",IF(LEFT(AI78,1)="⚠","❌ SKIP",IF(AND(AC78&gt;=Settings!$B$15,AF78&gt;=Settings!$B$16,OR(R78="",N(R78)&gt;=Settings!$B$17)),"✅ GO",IF(AC78&gt;0,"⚠ CHECK","❌ SKIP"))))</f>
        <v/>
      </c>
      <c r="AK78" s="38"/>
    </row>
    <row r="79" customFormat="false" ht="15" hidden="false" customHeight="false" outlineLevel="0" collapsed="false">
      <c r="A79" s="37" t="str">
        <f aca="false">IF(B79="","",ROW()-4)</f>
        <v/>
      </c>
      <c r="B79" s="38"/>
      <c r="C79" s="39"/>
      <c r="D79" s="38"/>
      <c r="E79" s="38"/>
      <c r="F79" s="38"/>
      <c r="G79" s="40"/>
      <c r="H79" s="40"/>
      <c r="I79" s="40"/>
      <c r="J79" s="41" t="str">
        <f aca="false">IF(G79="","",G79+N(H79)+N(I79))</f>
        <v/>
      </c>
      <c r="K79" s="40"/>
      <c r="L79" s="40"/>
      <c r="M79" s="42"/>
      <c r="N79" s="42"/>
      <c r="O79" s="39"/>
      <c r="P79" s="38"/>
      <c r="Q79" s="38"/>
      <c r="R79" s="43" t="str">
        <f aca="false">IF(OR(P79="",Q79=""),"",P79/(P79+Q79))</f>
        <v/>
      </c>
      <c r="S79" s="41" t="str">
        <f aca="false">IF(OR(K79="",G79=""),"",K79+N(L79))</f>
        <v/>
      </c>
      <c r="T79" s="41" t="str">
        <f aca="false">IF(OR(K79="",G79=""),"",S79*Settings!$B$10)</f>
        <v/>
      </c>
      <c r="U79" s="41" t="str">
        <f aca="false">IF(OR(K79="",G79=""),"",(S79+T79)*IF(N79="",Settings!$B$5,N79))</f>
        <v/>
      </c>
      <c r="V79" s="41" t="str">
        <f aca="false">IF(OR(K79="",G79=""),"",IF(S79+T79&lt;=Settings!$B$8,Settings!$B$6,Settings!$B$7))</f>
        <v/>
      </c>
      <c r="W79" s="41" t="str">
        <f aca="false">IF(OR(K79="",G79=""),"",S79*IF(UPPER(O79)="Y",Settings!$B$9,0))</f>
        <v/>
      </c>
      <c r="X79" s="41" t="str">
        <f aca="false">IF(OR(K79="",G79=""),"",(S79+T79)*IF(M79="",Settings!$B$11,M79))</f>
        <v/>
      </c>
      <c r="Y79" s="41" t="str">
        <f aca="false">IF(OR(K79="",G79=""),"",U79+V79+W79+X79)</f>
        <v/>
      </c>
      <c r="Z79" s="41" t="str">
        <f aca="false">IF(OR(K79="",G79=""),"",S79-Y79)</f>
        <v/>
      </c>
      <c r="AA79" s="41" t="str">
        <f aca="false">IF(OR(K79="",G79=""),"",Z79*Settings!$B$12)</f>
        <v/>
      </c>
      <c r="AB79" s="41" t="str">
        <f aca="false">IF(OR(K79="",G79=""),"",S79*Settings!$B$13)</f>
        <v/>
      </c>
      <c r="AC79" s="44" t="str">
        <f aca="false">IF(OR(K79="",G79=""),"",Z79-AA79-AB79-J79)</f>
        <v/>
      </c>
      <c r="AD79" s="45" t="str">
        <f aca="false">IF(OR(K79="",G79=""),"",AC79*Settings!$B$14)</f>
        <v/>
      </c>
      <c r="AE79" s="43" t="str">
        <f aca="false">IF(OR(K79="",G79=""),"",IF(S79=0,"",AC79/S79))</f>
        <v/>
      </c>
      <c r="AF79" s="43" t="str">
        <f aca="false">IF(OR(K79="",G79=""),"",IF(J79=0,"",AC79/J79))</f>
        <v/>
      </c>
      <c r="AG79" s="41" t="str">
        <f aca="false">IF(OR(K79="",G79=""),"",(J79+V79)/(1-(1+Settings!$B$10)*(IF(N79="",Settings!$B$5,N79)+IF(M79="",Settings!$B$11,M79))-IF(UPPER(O79)="Y",Settings!$B$9,0)-Settings!$B$13-Settings!$B$12)-N(L79))</f>
        <v/>
      </c>
      <c r="AH79" s="41" t="str">
        <f aca="false">IF(OR(K79="",G79=""),"",(J79+V79+Settings!$B$15)/(1-(1+Settings!$B$10)*(IF(N79="",Settings!$B$5,N79)+IF(M79="",Settings!$B$11,M79))-IF(UPPER(O79)="Y",Settings!$B$9,0)-Settings!$B$13-Settings!$B$12)-N(L79))</f>
        <v/>
      </c>
      <c r="AI79" s="46" t="str">
        <f aca="false">IF(C79="","",IF(OR(ISNUMBER(SEARCH("amazon",C79)),ISNUMBER(SEARCH("walmart",C79)),ISNUMBER(SEARCH("aliexpress",C79)),ISNUMBER(SEARCH("temu",C79))),"⚠ Retail source — not allowed","✓ Wholesale / own stock"))</f>
        <v/>
      </c>
      <c r="AJ79" s="47" t="str">
        <f aca="false">IF(OR(K79="",G79=""),"",IF(LEFT(AI79,1)="⚠","❌ SKIP",IF(AND(AC79&gt;=Settings!$B$15,AF79&gt;=Settings!$B$16,OR(R79="",N(R79)&gt;=Settings!$B$17)),"✅ GO",IF(AC79&gt;0,"⚠ CHECK","❌ SKIP"))))</f>
        <v/>
      </c>
      <c r="AK79" s="38"/>
    </row>
    <row r="80" customFormat="false" ht="15" hidden="false" customHeight="false" outlineLevel="0" collapsed="false">
      <c r="A80" s="37" t="str">
        <f aca="false">IF(B80="","",ROW()-4)</f>
        <v/>
      </c>
      <c r="B80" s="38"/>
      <c r="C80" s="39"/>
      <c r="D80" s="38"/>
      <c r="E80" s="38"/>
      <c r="F80" s="38"/>
      <c r="G80" s="40"/>
      <c r="H80" s="40"/>
      <c r="I80" s="40"/>
      <c r="J80" s="41" t="str">
        <f aca="false">IF(G80="","",G80+N(H80)+N(I80))</f>
        <v/>
      </c>
      <c r="K80" s="40"/>
      <c r="L80" s="40"/>
      <c r="M80" s="42"/>
      <c r="N80" s="42"/>
      <c r="O80" s="39"/>
      <c r="P80" s="38"/>
      <c r="Q80" s="38"/>
      <c r="R80" s="43" t="str">
        <f aca="false">IF(OR(P80="",Q80=""),"",P80/(P80+Q80))</f>
        <v/>
      </c>
      <c r="S80" s="41" t="str">
        <f aca="false">IF(OR(K80="",G80=""),"",K80+N(L80))</f>
        <v/>
      </c>
      <c r="T80" s="41" t="str">
        <f aca="false">IF(OR(K80="",G80=""),"",S80*Settings!$B$10)</f>
        <v/>
      </c>
      <c r="U80" s="41" t="str">
        <f aca="false">IF(OR(K80="",G80=""),"",(S80+T80)*IF(N80="",Settings!$B$5,N80))</f>
        <v/>
      </c>
      <c r="V80" s="41" t="str">
        <f aca="false">IF(OR(K80="",G80=""),"",IF(S80+T80&lt;=Settings!$B$8,Settings!$B$6,Settings!$B$7))</f>
        <v/>
      </c>
      <c r="W80" s="41" t="str">
        <f aca="false">IF(OR(K80="",G80=""),"",S80*IF(UPPER(O80)="Y",Settings!$B$9,0))</f>
        <v/>
      </c>
      <c r="X80" s="41" t="str">
        <f aca="false">IF(OR(K80="",G80=""),"",(S80+T80)*IF(M80="",Settings!$B$11,M80))</f>
        <v/>
      </c>
      <c r="Y80" s="41" t="str">
        <f aca="false">IF(OR(K80="",G80=""),"",U80+V80+W80+X80)</f>
        <v/>
      </c>
      <c r="Z80" s="41" t="str">
        <f aca="false">IF(OR(K80="",G80=""),"",S80-Y80)</f>
        <v/>
      </c>
      <c r="AA80" s="41" t="str">
        <f aca="false">IF(OR(K80="",G80=""),"",Z80*Settings!$B$12)</f>
        <v/>
      </c>
      <c r="AB80" s="41" t="str">
        <f aca="false">IF(OR(K80="",G80=""),"",S80*Settings!$B$13)</f>
        <v/>
      </c>
      <c r="AC80" s="44" t="str">
        <f aca="false">IF(OR(K80="",G80=""),"",Z80-AA80-AB80-J80)</f>
        <v/>
      </c>
      <c r="AD80" s="45" t="str">
        <f aca="false">IF(OR(K80="",G80=""),"",AC80*Settings!$B$14)</f>
        <v/>
      </c>
      <c r="AE80" s="43" t="str">
        <f aca="false">IF(OR(K80="",G80=""),"",IF(S80=0,"",AC80/S80))</f>
        <v/>
      </c>
      <c r="AF80" s="43" t="str">
        <f aca="false">IF(OR(K80="",G80=""),"",IF(J80=0,"",AC80/J80))</f>
        <v/>
      </c>
      <c r="AG80" s="41" t="str">
        <f aca="false">IF(OR(K80="",G80=""),"",(J80+V80)/(1-(1+Settings!$B$10)*(IF(N80="",Settings!$B$5,N80)+IF(M80="",Settings!$B$11,M80))-IF(UPPER(O80)="Y",Settings!$B$9,0)-Settings!$B$13-Settings!$B$12)-N(L80))</f>
        <v/>
      </c>
      <c r="AH80" s="41" t="str">
        <f aca="false">IF(OR(K80="",G80=""),"",(J80+V80+Settings!$B$15)/(1-(1+Settings!$B$10)*(IF(N80="",Settings!$B$5,N80)+IF(M80="",Settings!$B$11,M80))-IF(UPPER(O80)="Y",Settings!$B$9,0)-Settings!$B$13-Settings!$B$12)-N(L80))</f>
        <v/>
      </c>
      <c r="AI80" s="46" t="str">
        <f aca="false">IF(C80="","",IF(OR(ISNUMBER(SEARCH("amazon",C80)),ISNUMBER(SEARCH("walmart",C80)),ISNUMBER(SEARCH("aliexpress",C80)),ISNUMBER(SEARCH("temu",C80))),"⚠ Retail source — not allowed","✓ Wholesale / own stock"))</f>
        <v/>
      </c>
      <c r="AJ80" s="47" t="str">
        <f aca="false">IF(OR(K80="",G80=""),"",IF(LEFT(AI80,1)="⚠","❌ SKIP",IF(AND(AC80&gt;=Settings!$B$15,AF80&gt;=Settings!$B$16,OR(R80="",N(R80)&gt;=Settings!$B$17)),"✅ GO",IF(AC80&gt;0,"⚠ CHECK","❌ SKIP"))))</f>
        <v/>
      </c>
      <c r="AK80" s="38"/>
    </row>
    <row r="81" customFormat="false" ht="15" hidden="false" customHeight="false" outlineLevel="0" collapsed="false">
      <c r="A81" s="37" t="str">
        <f aca="false">IF(B81="","",ROW()-4)</f>
        <v/>
      </c>
      <c r="B81" s="38"/>
      <c r="C81" s="39"/>
      <c r="D81" s="38"/>
      <c r="E81" s="38"/>
      <c r="F81" s="38"/>
      <c r="G81" s="40"/>
      <c r="H81" s="40"/>
      <c r="I81" s="40"/>
      <c r="J81" s="41" t="str">
        <f aca="false">IF(G81="","",G81+N(H81)+N(I81))</f>
        <v/>
      </c>
      <c r="K81" s="40"/>
      <c r="L81" s="40"/>
      <c r="M81" s="42"/>
      <c r="N81" s="42"/>
      <c r="O81" s="39"/>
      <c r="P81" s="38"/>
      <c r="Q81" s="38"/>
      <c r="R81" s="43" t="str">
        <f aca="false">IF(OR(P81="",Q81=""),"",P81/(P81+Q81))</f>
        <v/>
      </c>
      <c r="S81" s="41" t="str">
        <f aca="false">IF(OR(K81="",G81=""),"",K81+N(L81))</f>
        <v/>
      </c>
      <c r="T81" s="41" t="str">
        <f aca="false">IF(OR(K81="",G81=""),"",S81*Settings!$B$10)</f>
        <v/>
      </c>
      <c r="U81" s="41" t="str">
        <f aca="false">IF(OR(K81="",G81=""),"",(S81+T81)*IF(N81="",Settings!$B$5,N81))</f>
        <v/>
      </c>
      <c r="V81" s="41" t="str">
        <f aca="false">IF(OR(K81="",G81=""),"",IF(S81+T81&lt;=Settings!$B$8,Settings!$B$6,Settings!$B$7))</f>
        <v/>
      </c>
      <c r="W81" s="41" t="str">
        <f aca="false">IF(OR(K81="",G81=""),"",S81*IF(UPPER(O81)="Y",Settings!$B$9,0))</f>
        <v/>
      </c>
      <c r="X81" s="41" t="str">
        <f aca="false">IF(OR(K81="",G81=""),"",(S81+T81)*IF(M81="",Settings!$B$11,M81))</f>
        <v/>
      </c>
      <c r="Y81" s="41" t="str">
        <f aca="false">IF(OR(K81="",G81=""),"",U81+V81+W81+X81)</f>
        <v/>
      </c>
      <c r="Z81" s="41" t="str">
        <f aca="false">IF(OR(K81="",G81=""),"",S81-Y81)</f>
        <v/>
      </c>
      <c r="AA81" s="41" t="str">
        <f aca="false">IF(OR(K81="",G81=""),"",Z81*Settings!$B$12)</f>
        <v/>
      </c>
      <c r="AB81" s="41" t="str">
        <f aca="false">IF(OR(K81="",G81=""),"",S81*Settings!$B$13)</f>
        <v/>
      </c>
      <c r="AC81" s="44" t="str">
        <f aca="false">IF(OR(K81="",G81=""),"",Z81-AA81-AB81-J81)</f>
        <v/>
      </c>
      <c r="AD81" s="45" t="str">
        <f aca="false">IF(OR(K81="",G81=""),"",AC81*Settings!$B$14)</f>
        <v/>
      </c>
      <c r="AE81" s="43" t="str">
        <f aca="false">IF(OR(K81="",G81=""),"",IF(S81=0,"",AC81/S81))</f>
        <v/>
      </c>
      <c r="AF81" s="43" t="str">
        <f aca="false">IF(OR(K81="",G81=""),"",IF(J81=0,"",AC81/J81))</f>
        <v/>
      </c>
      <c r="AG81" s="41" t="str">
        <f aca="false">IF(OR(K81="",G81=""),"",(J81+V81)/(1-(1+Settings!$B$10)*(IF(N81="",Settings!$B$5,N81)+IF(M81="",Settings!$B$11,M81))-IF(UPPER(O81)="Y",Settings!$B$9,0)-Settings!$B$13-Settings!$B$12)-N(L81))</f>
        <v/>
      </c>
      <c r="AH81" s="41" t="str">
        <f aca="false">IF(OR(K81="",G81=""),"",(J81+V81+Settings!$B$15)/(1-(1+Settings!$B$10)*(IF(N81="",Settings!$B$5,N81)+IF(M81="",Settings!$B$11,M81))-IF(UPPER(O81)="Y",Settings!$B$9,0)-Settings!$B$13-Settings!$B$12)-N(L81))</f>
        <v/>
      </c>
      <c r="AI81" s="46" t="str">
        <f aca="false">IF(C81="","",IF(OR(ISNUMBER(SEARCH("amazon",C81)),ISNUMBER(SEARCH("walmart",C81)),ISNUMBER(SEARCH("aliexpress",C81)),ISNUMBER(SEARCH("temu",C81))),"⚠ Retail source — not allowed","✓ Wholesale / own stock"))</f>
        <v/>
      </c>
      <c r="AJ81" s="47" t="str">
        <f aca="false">IF(OR(K81="",G81=""),"",IF(LEFT(AI81,1)="⚠","❌ SKIP",IF(AND(AC81&gt;=Settings!$B$15,AF81&gt;=Settings!$B$16,OR(R81="",N(R81)&gt;=Settings!$B$17)),"✅ GO",IF(AC81&gt;0,"⚠ CHECK","❌ SKIP"))))</f>
        <v/>
      </c>
      <c r="AK81" s="38"/>
    </row>
    <row r="82" customFormat="false" ht="15" hidden="false" customHeight="false" outlineLevel="0" collapsed="false">
      <c r="A82" s="37" t="str">
        <f aca="false">IF(B82="","",ROW()-4)</f>
        <v/>
      </c>
      <c r="B82" s="38"/>
      <c r="C82" s="39"/>
      <c r="D82" s="38"/>
      <c r="E82" s="38"/>
      <c r="F82" s="38"/>
      <c r="G82" s="40"/>
      <c r="H82" s="40"/>
      <c r="I82" s="40"/>
      <c r="J82" s="41" t="str">
        <f aca="false">IF(G82="","",G82+N(H82)+N(I82))</f>
        <v/>
      </c>
      <c r="K82" s="40"/>
      <c r="L82" s="40"/>
      <c r="M82" s="42"/>
      <c r="N82" s="42"/>
      <c r="O82" s="39"/>
      <c r="P82" s="38"/>
      <c r="Q82" s="38"/>
      <c r="R82" s="43" t="str">
        <f aca="false">IF(OR(P82="",Q82=""),"",P82/(P82+Q82))</f>
        <v/>
      </c>
      <c r="S82" s="41" t="str">
        <f aca="false">IF(OR(K82="",G82=""),"",K82+N(L82))</f>
        <v/>
      </c>
      <c r="T82" s="41" t="str">
        <f aca="false">IF(OR(K82="",G82=""),"",S82*Settings!$B$10)</f>
        <v/>
      </c>
      <c r="U82" s="41" t="str">
        <f aca="false">IF(OR(K82="",G82=""),"",(S82+T82)*IF(N82="",Settings!$B$5,N82))</f>
        <v/>
      </c>
      <c r="V82" s="41" t="str">
        <f aca="false">IF(OR(K82="",G82=""),"",IF(S82+T82&lt;=Settings!$B$8,Settings!$B$6,Settings!$B$7))</f>
        <v/>
      </c>
      <c r="W82" s="41" t="str">
        <f aca="false">IF(OR(K82="",G82=""),"",S82*IF(UPPER(O82)="Y",Settings!$B$9,0))</f>
        <v/>
      </c>
      <c r="X82" s="41" t="str">
        <f aca="false">IF(OR(K82="",G82=""),"",(S82+T82)*IF(M82="",Settings!$B$11,M82))</f>
        <v/>
      </c>
      <c r="Y82" s="41" t="str">
        <f aca="false">IF(OR(K82="",G82=""),"",U82+V82+W82+X82)</f>
        <v/>
      </c>
      <c r="Z82" s="41" t="str">
        <f aca="false">IF(OR(K82="",G82=""),"",S82-Y82)</f>
        <v/>
      </c>
      <c r="AA82" s="41" t="str">
        <f aca="false">IF(OR(K82="",G82=""),"",Z82*Settings!$B$12)</f>
        <v/>
      </c>
      <c r="AB82" s="41" t="str">
        <f aca="false">IF(OR(K82="",G82=""),"",S82*Settings!$B$13)</f>
        <v/>
      </c>
      <c r="AC82" s="44" t="str">
        <f aca="false">IF(OR(K82="",G82=""),"",Z82-AA82-AB82-J82)</f>
        <v/>
      </c>
      <c r="AD82" s="45" t="str">
        <f aca="false">IF(OR(K82="",G82=""),"",AC82*Settings!$B$14)</f>
        <v/>
      </c>
      <c r="AE82" s="43" t="str">
        <f aca="false">IF(OR(K82="",G82=""),"",IF(S82=0,"",AC82/S82))</f>
        <v/>
      </c>
      <c r="AF82" s="43" t="str">
        <f aca="false">IF(OR(K82="",G82=""),"",IF(J82=0,"",AC82/J82))</f>
        <v/>
      </c>
      <c r="AG82" s="41" t="str">
        <f aca="false">IF(OR(K82="",G82=""),"",(J82+V82)/(1-(1+Settings!$B$10)*(IF(N82="",Settings!$B$5,N82)+IF(M82="",Settings!$B$11,M82))-IF(UPPER(O82)="Y",Settings!$B$9,0)-Settings!$B$13-Settings!$B$12)-N(L82))</f>
        <v/>
      </c>
      <c r="AH82" s="41" t="str">
        <f aca="false">IF(OR(K82="",G82=""),"",(J82+V82+Settings!$B$15)/(1-(1+Settings!$B$10)*(IF(N82="",Settings!$B$5,N82)+IF(M82="",Settings!$B$11,M82))-IF(UPPER(O82)="Y",Settings!$B$9,0)-Settings!$B$13-Settings!$B$12)-N(L82))</f>
        <v/>
      </c>
      <c r="AI82" s="46" t="str">
        <f aca="false">IF(C82="","",IF(OR(ISNUMBER(SEARCH("amazon",C82)),ISNUMBER(SEARCH("walmart",C82)),ISNUMBER(SEARCH("aliexpress",C82)),ISNUMBER(SEARCH("temu",C82))),"⚠ Retail source — not allowed","✓ Wholesale / own stock"))</f>
        <v/>
      </c>
      <c r="AJ82" s="47" t="str">
        <f aca="false">IF(OR(K82="",G82=""),"",IF(LEFT(AI82,1)="⚠","❌ SKIP",IF(AND(AC82&gt;=Settings!$B$15,AF82&gt;=Settings!$B$16,OR(R82="",N(R82)&gt;=Settings!$B$17)),"✅ GO",IF(AC82&gt;0,"⚠ CHECK","❌ SKIP"))))</f>
        <v/>
      </c>
      <c r="AK82" s="38"/>
    </row>
    <row r="83" customFormat="false" ht="15" hidden="false" customHeight="false" outlineLevel="0" collapsed="false">
      <c r="A83" s="37" t="str">
        <f aca="false">IF(B83="","",ROW()-4)</f>
        <v/>
      </c>
      <c r="B83" s="38"/>
      <c r="C83" s="39"/>
      <c r="D83" s="38"/>
      <c r="E83" s="38"/>
      <c r="F83" s="38"/>
      <c r="G83" s="40"/>
      <c r="H83" s="40"/>
      <c r="I83" s="40"/>
      <c r="J83" s="41" t="str">
        <f aca="false">IF(G83="","",G83+N(H83)+N(I83))</f>
        <v/>
      </c>
      <c r="K83" s="40"/>
      <c r="L83" s="40"/>
      <c r="M83" s="42"/>
      <c r="N83" s="42"/>
      <c r="O83" s="39"/>
      <c r="P83" s="38"/>
      <c r="Q83" s="38"/>
      <c r="R83" s="43" t="str">
        <f aca="false">IF(OR(P83="",Q83=""),"",P83/(P83+Q83))</f>
        <v/>
      </c>
      <c r="S83" s="41" t="str">
        <f aca="false">IF(OR(K83="",G83=""),"",K83+N(L83))</f>
        <v/>
      </c>
      <c r="T83" s="41" t="str">
        <f aca="false">IF(OR(K83="",G83=""),"",S83*Settings!$B$10)</f>
        <v/>
      </c>
      <c r="U83" s="41" t="str">
        <f aca="false">IF(OR(K83="",G83=""),"",(S83+T83)*IF(N83="",Settings!$B$5,N83))</f>
        <v/>
      </c>
      <c r="V83" s="41" t="str">
        <f aca="false">IF(OR(K83="",G83=""),"",IF(S83+T83&lt;=Settings!$B$8,Settings!$B$6,Settings!$B$7))</f>
        <v/>
      </c>
      <c r="W83" s="41" t="str">
        <f aca="false">IF(OR(K83="",G83=""),"",S83*IF(UPPER(O83)="Y",Settings!$B$9,0))</f>
        <v/>
      </c>
      <c r="X83" s="41" t="str">
        <f aca="false">IF(OR(K83="",G83=""),"",(S83+T83)*IF(M83="",Settings!$B$11,M83))</f>
        <v/>
      </c>
      <c r="Y83" s="41" t="str">
        <f aca="false">IF(OR(K83="",G83=""),"",U83+V83+W83+X83)</f>
        <v/>
      </c>
      <c r="Z83" s="41" t="str">
        <f aca="false">IF(OR(K83="",G83=""),"",S83-Y83)</f>
        <v/>
      </c>
      <c r="AA83" s="41" t="str">
        <f aca="false">IF(OR(K83="",G83=""),"",Z83*Settings!$B$12)</f>
        <v/>
      </c>
      <c r="AB83" s="41" t="str">
        <f aca="false">IF(OR(K83="",G83=""),"",S83*Settings!$B$13)</f>
        <v/>
      </c>
      <c r="AC83" s="44" t="str">
        <f aca="false">IF(OR(K83="",G83=""),"",Z83-AA83-AB83-J83)</f>
        <v/>
      </c>
      <c r="AD83" s="45" t="str">
        <f aca="false">IF(OR(K83="",G83=""),"",AC83*Settings!$B$14)</f>
        <v/>
      </c>
      <c r="AE83" s="43" t="str">
        <f aca="false">IF(OR(K83="",G83=""),"",IF(S83=0,"",AC83/S83))</f>
        <v/>
      </c>
      <c r="AF83" s="43" t="str">
        <f aca="false">IF(OR(K83="",G83=""),"",IF(J83=0,"",AC83/J83))</f>
        <v/>
      </c>
      <c r="AG83" s="41" t="str">
        <f aca="false">IF(OR(K83="",G83=""),"",(J83+V83)/(1-(1+Settings!$B$10)*(IF(N83="",Settings!$B$5,N83)+IF(M83="",Settings!$B$11,M83))-IF(UPPER(O83)="Y",Settings!$B$9,0)-Settings!$B$13-Settings!$B$12)-N(L83))</f>
        <v/>
      </c>
      <c r="AH83" s="41" t="str">
        <f aca="false">IF(OR(K83="",G83=""),"",(J83+V83+Settings!$B$15)/(1-(1+Settings!$B$10)*(IF(N83="",Settings!$B$5,N83)+IF(M83="",Settings!$B$11,M83))-IF(UPPER(O83)="Y",Settings!$B$9,0)-Settings!$B$13-Settings!$B$12)-N(L83))</f>
        <v/>
      </c>
      <c r="AI83" s="46" t="str">
        <f aca="false">IF(C83="","",IF(OR(ISNUMBER(SEARCH("amazon",C83)),ISNUMBER(SEARCH("walmart",C83)),ISNUMBER(SEARCH("aliexpress",C83)),ISNUMBER(SEARCH("temu",C83))),"⚠ Retail source — not allowed","✓ Wholesale / own stock"))</f>
        <v/>
      </c>
      <c r="AJ83" s="47" t="str">
        <f aca="false">IF(OR(K83="",G83=""),"",IF(LEFT(AI83,1)="⚠","❌ SKIP",IF(AND(AC83&gt;=Settings!$B$15,AF83&gt;=Settings!$B$16,OR(R83="",N(R83)&gt;=Settings!$B$17)),"✅ GO",IF(AC83&gt;0,"⚠ CHECK","❌ SKIP"))))</f>
        <v/>
      </c>
      <c r="AK83" s="38"/>
    </row>
    <row r="84" customFormat="false" ht="15" hidden="false" customHeight="false" outlineLevel="0" collapsed="false">
      <c r="A84" s="37" t="str">
        <f aca="false">IF(B84="","",ROW()-4)</f>
        <v/>
      </c>
      <c r="B84" s="38"/>
      <c r="C84" s="39"/>
      <c r="D84" s="38"/>
      <c r="E84" s="38"/>
      <c r="F84" s="38"/>
      <c r="G84" s="40"/>
      <c r="H84" s="40"/>
      <c r="I84" s="40"/>
      <c r="J84" s="41" t="str">
        <f aca="false">IF(G84="","",G84+N(H84)+N(I84))</f>
        <v/>
      </c>
      <c r="K84" s="40"/>
      <c r="L84" s="40"/>
      <c r="M84" s="42"/>
      <c r="N84" s="42"/>
      <c r="O84" s="39"/>
      <c r="P84" s="38"/>
      <c r="Q84" s="38"/>
      <c r="R84" s="43" t="str">
        <f aca="false">IF(OR(P84="",Q84=""),"",P84/(P84+Q84))</f>
        <v/>
      </c>
      <c r="S84" s="41" t="str">
        <f aca="false">IF(OR(K84="",G84=""),"",K84+N(L84))</f>
        <v/>
      </c>
      <c r="T84" s="41" t="str">
        <f aca="false">IF(OR(K84="",G84=""),"",S84*Settings!$B$10)</f>
        <v/>
      </c>
      <c r="U84" s="41" t="str">
        <f aca="false">IF(OR(K84="",G84=""),"",(S84+T84)*IF(N84="",Settings!$B$5,N84))</f>
        <v/>
      </c>
      <c r="V84" s="41" t="str">
        <f aca="false">IF(OR(K84="",G84=""),"",IF(S84+T84&lt;=Settings!$B$8,Settings!$B$6,Settings!$B$7))</f>
        <v/>
      </c>
      <c r="W84" s="41" t="str">
        <f aca="false">IF(OR(K84="",G84=""),"",S84*IF(UPPER(O84)="Y",Settings!$B$9,0))</f>
        <v/>
      </c>
      <c r="X84" s="41" t="str">
        <f aca="false">IF(OR(K84="",G84=""),"",(S84+T84)*IF(M84="",Settings!$B$11,M84))</f>
        <v/>
      </c>
      <c r="Y84" s="41" t="str">
        <f aca="false">IF(OR(K84="",G84=""),"",U84+V84+W84+X84)</f>
        <v/>
      </c>
      <c r="Z84" s="41" t="str">
        <f aca="false">IF(OR(K84="",G84=""),"",S84-Y84)</f>
        <v/>
      </c>
      <c r="AA84" s="41" t="str">
        <f aca="false">IF(OR(K84="",G84=""),"",Z84*Settings!$B$12)</f>
        <v/>
      </c>
      <c r="AB84" s="41" t="str">
        <f aca="false">IF(OR(K84="",G84=""),"",S84*Settings!$B$13)</f>
        <v/>
      </c>
      <c r="AC84" s="44" t="str">
        <f aca="false">IF(OR(K84="",G84=""),"",Z84-AA84-AB84-J84)</f>
        <v/>
      </c>
      <c r="AD84" s="45" t="str">
        <f aca="false">IF(OR(K84="",G84=""),"",AC84*Settings!$B$14)</f>
        <v/>
      </c>
      <c r="AE84" s="43" t="str">
        <f aca="false">IF(OR(K84="",G84=""),"",IF(S84=0,"",AC84/S84))</f>
        <v/>
      </c>
      <c r="AF84" s="43" t="str">
        <f aca="false">IF(OR(K84="",G84=""),"",IF(J84=0,"",AC84/J84))</f>
        <v/>
      </c>
      <c r="AG84" s="41" t="str">
        <f aca="false">IF(OR(K84="",G84=""),"",(J84+V84)/(1-(1+Settings!$B$10)*(IF(N84="",Settings!$B$5,N84)+IF(M84="",Settings!$B$11,M84))-IF(UPPER(O84)="Y",Settings!$B$9,0)-Settings!$B$13-Settings!$B$12)-N(L84))</f>
        <v/>
      </c>
      <c r="AH84" s="41" t="str">
        <f aca="false">IF(OR(K84="",G84=""),"",(J84+V84+Settings!$B$15)/(1-(1+Settings!$B$10)*(IF(N84="",Settings!$B$5,N84)+IF(M84="",Settings!$B$11,M84))-IF(UPPER(O84)="Y",Settings!$B$9,0)-Settings!$B$13-Settings!$B$12)-N(L84))</f>
        <v/>
      </c>
      <c r="AI84" s="46" t="str">
        <f aca="false">IF(C84="","",IF(OR(ISNUMBER(SEARCH("amazon",C84)),ISNUMBER(SEARCH("walmart",C84)),ISNUMBER(SEARCH("aliexpress",C84)),ISNUMBER(SEARCH("temu",C84))),"⚠ Retail source — not allowed","✓ Wholesale / own stock"))</f>
        <v/>
      </c>
      <c r="AJ84" s="47" t="str">
        <f aca="false">IF(OR(K84="",G84=""),"",IF(LEFT(AI84,1)="⚠","❌ SKIP",IF(AND(AC84&gt;=Settings!$B$15,AF84&gt;=Settings!$B$16,OR(R84="",N(R84)&gt;=Settings!$B$17)),"✅ GO",IF(AC84&gt;0,"⚠ CHECK","❌ SKIP"))))</f>
        <v/>
      </c>
      <c r="AK84" s="38"/>
    </row>
    <row r="85" customFormat="false" ht="15" hidden="false" customHeight="false" outlineLevel="0" collapsed="false">
      <c r="A85" s="37" t="str">
        <f aca="false">IF(B85="","",ROW()-4)</f>
        <v/>
      </c>
      <c r="B85" s="38"/>
      <c r="C85" s="39"/>
      <c r="D85" s="38"/>
      <c r="E85" s="38"/>
      <c r="F85" s="38"/>
      <c r="G85" s="40"/>
      <c r="H85" s="40"/>
      <c r="I85" s="40"/>
      <c r="J85" s="41" t="str">
        <f aca="false">IF(G85="","",G85+N(H85)+N(I85))</f>
        <v/>
      </c>
      <c r="K85" s="40"/>
      <c r="L85" s="40"/>
      <c r="M85" s="42"/>
      <c r="N85" s="42"/>
      <c r="O85" s="39"/>
      <c r="P85" s="38"/>
      <c r="Q85" s="38"/>
      <c r="R85" s="43" t="str">
        <f aca="false">IF(OR(P85="",Q85=""),"",P85/(P85+Q85))</f>
        <v/>
      </c>
      <c r="S85" s="41" t="str">
        <f aca="false">IF(OR(K85="",G85=""),"",K85+N(L85))</f>
        <v/>
      </c>
      <c r="T85" s="41" t="str">
        <f aca="false">IF(OR(K85="",G85=""),"",S85*Settings!$B$10)</f>
        <v/>
      </c>
      <c r="U85" s="41" t="str">
        <f aca="false">IF(OR(K85="",G85=""),"",(S85+T85)*IF(N85="",Settings!$B$5,N85))</f>
        <v/>
      </c>
      <c r="V85" s="41" t="str">
        <f aca="false">IF(OR(K85="",G85=""),"",IF(S85+T85&lt;=Settings!$B$8,Settings!$B$6,Settings!$B$7))</f>
        <v/>
      </c>
      <c r="W85" s="41" t="str">
        <f aca="false">IF(OR(K85="",G85=""),"",S85*IF(UPPER(O85)="Y",Settings!$B$9,0))</f>
        <v/>
      </c>
      <c r="X85" s="41" t="str">
        <f aca="false">IF(OR(K85="",G85=""),"",(S85+T85)*IF(M85="",Settings!$B$11,M85))</f>
        <v/>
      </c>
      <c r="Y85" s="41" t="str">
        <f aca="false">IF(OR(K85="",G85=""),"",U85+V85+W85+X85)</f>
        <v/>
      </c>
      <c r="Z85" s="41" t="str">
        <f aca="false">IF(OR(K85="",G85=""),"",S85-Y85)</f>
        <v/>
      </c>
      <c r="AA85" s="41" t="str">
        <f aca="false">IF(OR(K85="",G85=""),"",Z85*Settings!$B$12)</f>
        <v/>
      </c>
      <c r="AB85" s="41" t="str">
        <f aca="false">IF(OR(K85="",G85=""),"",S85*Settings!$B$13)</f>
        <v/>
      </c>
      <c r="AC85" s="44" t="str">
        <f aca="false">IF(OR(K85="",G85=""),"",Z85-AA85-AB85-J85)</f>
        <v/>
      </c>
      <c r="AD85" s="45" t="str">
        <f aca="false">IF(OR(K85="",G85=""),"",AC85*Settings!$B$14)</f>
        <v/>
      </c>
      <c r="AE85" s="43" t="str">
        <f aca="false">IF(OR(K85="",G85=""),"",IF(S85=0,"",AC85/S85))</f>
        <v/>
      </c>
      <c r="AF85" s="43" t="str">
        <f aca="false">IF(OR(K85="",G85=""),"",IF(J85=0,"",AC85/J85))</f>
        <v/>
      </c>
      <c r="AG85" s="41" t="str">
        <f aca="false">IF(OR(K85="",G85=""),"",(J85+V85)/(1-(1+Settings!$B$10)*(IF(N85="",Settings!$B$5,N85)+IF(M85="",Settings!$B$11,M85))-IF(UPPER(O85)="Y",Settings!$B$9,0)-Settings!$B$13-Settings!$B$12)-N(L85))</f>
        <v/>
      </c>
      <c r="AH85" s="41" t="str">
        <f aca="false">IF(OR(K85="",G85=""),"",(J85+V85+Settings!$B$15)/(1-(1+Settings!$B$10)*(IF(N85="",Settings!$B$5,N85)+IF(M85="",Settings!$B$11,M85))-IF(UPPER(O85)="Y",Settings!$B$9,0)-Settings!$B$13-Settings!$B$12)-N(L85))</f>
        <v/>
      </c>
      <c r="AI85" s="46" t="str">
        <f aca="false">IF(C85="","",IF(OR(ISNUMBER(SEARCH("amazon",C85)),ISNUMBER(SEARCH("walmart",C85)),ISNUMBER(SEARCH("aliexpress",C85)),ISNUMBER(SEARCH("temu",C85))),"⚠ Retail source — not allowed","✓ Wholesale / own stock"))</f>
        <v/>
      </c>
      <c r="AJ85" s="47" t="str">
        <f aca="false">IF(OR(K85="",G85=""),"",IF(LEFT(AI85,1)="⚠","❌ SKIP",IF(AND(AC85&gt;=Settings!$B$15,AF85&gt;=Settings!$B$16,OR(R85="",N(R85)&gt;=Settings!$B$17)),"✅ GO",IF(AC85&gt;0,"⚠ CHECK","❌ SKIP"))))</f>
        <v/>
      </c>
      <c r="AK85" s="38"/>
    </row>
    <row r="86" customFormat="false" ht="15" hidden="false" customHeight="false" outlineLevel="0" collapsed="false">
      <c r="A86" s="37" t="str">
        <f aca="false">IF(B86="","",ROW()-4)</f>
        <v/>
      </c>
      <c r="B86" s="38"/>
      <c r="C86" s="39"/>
      <c r="D86" s="38"/>
      <c r="E86" s="38"/>
      <c r="F86" s="38"/>
      <c r="G86" s="40"/>
      <c r="H86" s="40"/>
      <c r="I86" s="40"/>
      <c r="J86" s="41" t="str">
        <f aca="false">IF(G86="","",G86+N(H86)+N(I86))</f>
        <v/>
      </c>
      <c r="K86" s="40"/>
      <c r="L86" s="40"/>
      <c r="M86" s="42"/>
      <c r="N86" s="42"/>
      <c r="O86" s="39"/>
      <c r="P86" s="38"/>
      <c r="Q86" s="38"/>
      <c r="R86" s="43" t="str">
        <f aca="false">IF(OR(P86="",Q86=""),"",P86/(P86+Q86))</f>
        <v/>
      </c>
      <c r="S86" s="41" t="str">
        <f aca="false">IF(OR(K86="",G86=""),"",K86+N(L86))</f>
        <v/>
      </c>
      <c r="T86" s="41" t="str">
        <f aca="false">IF(OR(K86="",G86=""),"",S86*Settings!$B$10)</f>
        <v/>
      </c>
      <c r="U86" s="41" t="str">
        <f aca="false">IF(OR(K86="",G86=""),"",(S86+T86)*IF(N86="",Settings!$B$5,N86))</f>
        <v/>
      </c>
      <c r="V86" s="41" t="str">
        <f aca="false">IF(OR(K86="",G86=""),"",IF(S86+T86&lt;=Settings!$B$8,Settings!$B$6,Settings!$B$7))</f>
        <v/>
      </c>
      <c r="W86" s="41" t="str">
        <f aca="false">IF(OR(K86="",G86=""),"",S86*IF(UPPER(O86)="Y",Settings!$B$9,0))</f>
        <v/>
      </c>
      <c r="X86" s="41" t="str">
        <f aca="false">IF(OR(K86="",G86=""),"",(S86+T86)*IF(M86="",Settings!$B$11,M86))</f>
        <v/>
      </c>
      <c r="Y86" s="41" t="str">
        <f aca="false">IF(OR(K86="",G86=""),"",U86+V86+W86+X86)</f>
        <v/>
      </c>
      <c r="Z86" s="41" t="str">
        <f aca="false">IF(OR(K86="",G86=""),"",S86-Y86)</f>
        <v/>
      </c>
      <c r="AA86" s="41" t="str">
        <f aca="false">IF(OR(K86="",G86=""),"",Z86*Settings!$B$12)</f>
        <v/>
      </c>
      <c r="AB86" s="41" t="str">
        <f aca="false">IF(OR(K86="",G86=""),"",S86*Settings!$B$13)</f>
        <v/>
      </c>
      <c r="AC86" s="44" t="str">
        <f aca="false">IF(OR(K86="",G86=""),"",Z86-AA86-AB86-J86)</f>
        <v/>
      </c>
      <c r="AD86" s="45" t="str">
        <f aca="false">IF(OR(K86="",G86=""),"",AC86*Settings!$B$14)</f>
        <v/>
      </c>
      <c r="AE86" s="43" t="str">
        <f aca="false">IF(OR(K86="",G86=""),"",IF(S86=0,"",AC86/S86))</f>
        <v/>
      </c>
      <c r="AF86" s="43" t="str">
        <f aca="false">IF(OR(K86="",G86=""),"",IF(J86=0,"",AC86/J86))</f>
        <v/>
      </c>
      <c r="AG86" s="41" t="str">
        <f aca="false">IF(OR(K86="",G86=""),"",(J86+V86)/(1-(1+Settings!$B$10)*(IF(N86="",Settings!$B$5,N86)+IF(M86="",Settings!$B$11,M86))-IF(UPPER(O86)="Y",Settings!$B$9,0)-Settings!$B$13-Settings!$B$12)-N(L86))</f>
        <v/>
      </c>
      <c r="AH86" s="41" t="str">
        <f aca="false">IF(OR(K86="",G86=""),"",(J86+V86+Settings!$B$15)/(1-(1+Settings!$B$10)*(IF(N86="",Settings!$B$5,N86)+IF(M86="",Settings!$B$11,M86))-IF(UPPER(O86)="Y",Settings!$B$9,0)-Settings!$B$13-Settings!$B$12)-N(L86))</f>
        <v/>
      </c>
      <c r="AI86" s="46" t="str">
        <f aca="false">IF(C86="","",IF(OR(ISNUMBER(SEARCH("amazon",C86)),ISNUMBER(SEARCH("walmart",C86)),ISNUMBER(SEARCH("aliexpress",C86)),ISNUMBER(SEARCH("temu",C86))),"⚠ Retail source — not allowed","✓ Wholesale / own stock"))</f>
        <v/>
      </c>
      <c r="AJ86" s="47" t="str">
        <f aca="false">IF(OR(K86="",G86=""),"",IF(LEFT(AI86,1)="⚠","❌ SKIP",IF(AND(AC86&gt;=Settings!$B$15,AF86&gt;=Settings!$B$16,OR(R86="",N(R86)&gt;=Settings!$B$17)),"✅ GO",IF(AC86&gt;0,"⚠ CHECK","❌ SKIP"))))</f>
        <v/>
      </c>
      <c r="AK86" s="38"/>
    </row>
    <row r="87" customFormat="false" ht="15" hidden="false" customHeight="false" outlineLevel="0" collapsed="false">
      <c r="A87" s="37" t="str">
        <f aca="false">IF(B87="","",ROW()-4)</f>
        <v/>
      </c>
      <c r="B87" s="38"/>
      <c r="C87" s="39"/>
      <c r="D87" s="38"/>
      <c r="E87" s="38"/>
      <c r="F87" s="38"/>
      <c r="G87" s="40"/>
      <c r="H87" s="40"/>
      <c r="I87" s="40"/>
      <c r="J87" s="41" t="str">
        <f aca="false">IF(G87="","",G87+N(H87)+N(I87))</f>
        <v/>
      </c>
      <c r="K87" s="40"/>
      <c r="L87" s="40"/>
      <c r="M87" s="42"/>
      <c r="N87" s="42"/>
      <c r="O87" s="39"/>
      <c r="P87" s="38"/>
      <c r="Q87" s="38"/>
      <c r="R87" s="43" t="str">
        <f aca="false">IF(OR(P87="",Q87=""),"",P87/(P87+Q87))</f>
        <v/>
      </c>
      <c r="S87" s="41" t="str">
        <f aca="false">IF(OR(K87="",G87=""),"",K87+N(L87))</f>
        <v/>
      </c>
      <c r="T87" s="41" t="str">
        <f aca="false">IF(OR(K87="",G87=""),"",S87*Settings!$B$10)</f>
        <v/>
      </c>
      <c r="U87" s="41" t="str">
        <f aca="false">IF(OR(K87="",G87=""),"",(S87+T87)*IF(N87="",Settings!$B$5,N87))</f>
        <v/>
      </c>
      <c r="V87" s="41" t="str">
        <f aca="false">IF(OR(K87="",G87=""),"",IF(S87+T87&lt;=Settings!$B$8,Settings!$B$6,Settings!$B$7))</f>
        <v/>
      </c>
      <c r="W87" s="41" t="str">
        <f aca="false">IF(OR(K87="",G87=""),"",S87*IF(UPPER(O87)="Y",Settings!$B$9,0))</f>
        <v/>
      </c>
      <c r="X87" s="41" t="str">
        <f aca="false">IF(OR(K87="",G87=""),"",(S87+T87)*IF(M87="",Settings!$B$11,M87))</f>
        <v/>
      </c>
      <c r="Y87" s="41" t="str">
        <f aca="false">IF(OR(K87="",G87=""),"",U87+V87+W87+X87)</f>
        <v/>
      </c>
      <c r="Z87" s="41" t="str">
        <f aca="false">IF(OR(K87="",G87=""),"",S87-Y87)</f>
        <v/>
      </c>
      <c r="AA87" s="41" t="str">
        <f aca="false">IF(OR(K87="",G87=""),"",Z87*Settings!$B$12)</f>
        <v/>
      </c>
      <c r="AB87" s="41" t="str">
        <f aca="false">IF(OR(K87="",G87=""),"",S87*Settings!$B$13)</f>
        <v/>
      </c>
      <c r="AC87" s="44" t="str">
        <f aca="false">IF(OR(K87="",G87=""),"",Z87-AA87-AB87-J87)</f>
        <v/>
      </c>
      <c r="AD87" s="45" t="str">
        <f aca="false">IF(OR(K87="",G87=""),"",AC87*Settings!$B$14)</f>
        <v/>
      </c>
      <c r="AE87" s="43" t="str">
        <f aca="false">IF(OR(K87="",G87=""),"",IF(S87=0,"",AC87/S87))</f>
        <v/>
      </c>
      <c r="AF87" s="43" t="str">
        <f aca="false">IF(OR(K87="",G87=""),"",IF(J87=0,"",AC87/J87))</f>
        <v/>
      </c>
      <c r="AG87" s="41" t="str">
        <f aca="false">IF(OR(K87="",G87=""),"",(J87+V87)/(1-(1+Settings!$B$10)*(IF(N87="",Settings!$B$5,N87)+IF(M87="",Settings!$B$11,M87))-IF(UPPER(O87)="Y",Settings!$B$9,0)-Settings!$B$13-Settings!$B$12)-N(L87))</f>
        <v/>
      </c>
      <c r="AH87" s="41" t="str">
        <f aca="false">IF(OR(K87="",G87=""),"",(J87+V87+Settings!$B$15)/(1-(1+Settings!$B$10)*(IF(N87="",Settings!$B$5,N87)+IF(M87="",Settings!$B$11,M87))-IF(UPPER(O87)="Y",Settings!$B$9,0)-Settings!$B$13-Settings!$B$12)-N(L87))</f>
        <v/>
      </c>
      <c r="AI87" s="46" t="str">
        <f aca="false">IF(C87="","",IF(OR(ISNUMBER(SEARCH("amazon",C87)),ISNUMBER(SEARCH("walmart",C87)),ISNUMBER(SEARCH("aliexpress",C87)),ISNUMBER(SEARCH("temu",C87))),"⚠ Retail source — not allowed","✓ Wholesale / own stock"))</f>
        <v/>
      </c>
      <c r="AJ87" s="47" t="str">
        <f aca="false">IF(OR(K87="",G87=""),"",IF(LEFT(AI87,1)="⚠","❌ SKIP",IF(AND(AC87&gt;=Settings!$B$15,AF87&gt;=Settings!$B$16,OR(R87="",N(R87)&gt;=Settings!$B$17)),"✅ GO",IF(AC87&gt;0,"⚠ CHECK","❌ SKIP"))))</f>
        <v/>
      </c>
      <c r="AK87" s="38"/>
    </row>
    <row r="88" customFormat="false" ht="15" hidden="false" customHeight="false" outlineLevel="0" collapsed="false">
      <c r="A88" s="37" t="str">
        <f aca="false">IF(B88="","",ROW()-4)</f>
        <v/>
      </c>
      <c r="B88" s="38"/>
      <c r="C88" s="39"/>
      <c r="D88" s="38"/>
      <c r="E88" s="38"/>
      <c r="F88" s="38"/>
      <c r="G88" s="40"/>
      <c r="H88" s="40"/>
      <c r="I88" s="40"/>
      <c r="J88" s="41" t="str">
        <f aca="false">IF(G88="","",G88+N(H88)+N(I88))</f>
        <v/>
      </c>
      <c r="K88" s="40"/>
      <c r="L88" s="40"/>
      <c r="M88" s="42"/>
      <c r="N88" s="42"/>
      <c r="O88" s="39"/>
      <c r="P88" s="38"/>
      <c r="Q88" s="38"/>
      <c r="R88" s="43" t="str">
        <f aca="false">IF(OR(P88="",Q88=""),"",P88/(P88+Q88))</f>
        <v/>
      </c>
      <c r="S88" s="41" t="str">
        <f aca="false">IF(OR(K88="",G88=""),"",K88+N(L88))</f>
        <v/>
      </c>
      <c r="T88" s="41" t="str">
        <f aca="false">IF(OR(K88="",G88=""),"",S88*Settings!$B$10)</f>
        <v/>
      </c>
      <c r="U88" s="41" t="str">
        <f aca="false">IF(OR(K88="",G88=""),"",(S88+T88)*IF(N88="",Settings!$B$5,N88))</f>
        <v/>
      </c>
      <c r="V88" s="41" t="str">
        <f aca="false">IF(OR(K88="",G88=""),"",IF(S88+T88&lt;=Settings!$B$8,Settings!$B$6,Settings!$B$7))</f>
        <v/>
      </c>
      <c r="W88" s="41" t="str">
        <f aca="false">IF(OR(K88="",G88=""),"",S88*IF(UPPER(O88)="Y",Settings!$B$9,0))</f>
        <v/>
      </c>
      <c r="X88" s="41" t="str">
        <f aca="false">IF(OR(K88="",G88=""),"",(S88+T88)*IF(M88="",Settings!$B$11,M88))</f>
        <v/>
      </c>
      <c r="Y88" s="41" t="str">
        <f aca="false">IF(OR(K88="",G88=""),"",U88+V88+W88+X88)</f>
        <v/>
      </c>
      <c r="Z88" s="41" t="str">
        <f aca="false">IF(OR(K88="",G88=""),"",S88-Y88)</f>
        <v/>
      </c>
      <c r="AA88" s="41" t="str">
        <f aca="false">IF(OR(K88="",G88=""),"",Z88*Settings!$B$12)</f>
        <v/>
      </c>
      <c r="AB88" s="41" t="str">
        <f aca="false">IF(OR(K88="",G88=""),"",S88*Settings!$B$13)</f>
        <v/>
      </c>
      <c r="AC88" s="44" t="str">
        <f aca="false">IF(OR(K88="",G88=""),"",Z88-AA88-AB88-J88)</f>
        <v/>
      </c>
      <c r="AD88" s="45" t="str">
        <f aca="false">IF(OR(K88="",G88=""),"",AC88*Settings!$B$14)</f>
        <v/>
      </c>
      <c r="AE88" s="43" t="str">
        <f aca="false">IF(OR(K88="",G88=""),"",IF(S88=0,"",AC88/S88))</f>
        <v/>
      </c>
      <c r="AF88" s="43" t="str">
        <f aca="false">IF(OR(K88="",G88=""),"",IF(J88=0,"",AC88/J88))</f>
        <v/>
      </c>
      <c r="AG88" s="41" t="str">
        <f aca="false">IF(OR(K88="",G88=""),"",(J88+V88)/(1-(1+Settings!$B$10)*(IF(N88="",Settings!$B$5,N88)+IF(M88="",Settings!$B$11,M88))-IF(UPPER(O88)="Y",Settings!$B$9,0)-Settings!$B$13-Settings!$B$12)-N(L88))</f>
        <v/>
      </c>
      <c r="AH88" s="41" t="str">
        <f aca="false">IF(OR(K88="",G88=""),"",(J88+V88+Settings!$B$15)/(1-(1+Settings!$B$10)*(IF(N88="",Settings!$B$5,N88)+IF(M88="",Settings!$B$11,M88))-IF(UPPER(O88)="Y",Settings!$B$9,0)-Settings!$B$13-Settings!$B$12)-N(L88))</f>
        <v/>
      </c>
      <c r="AI88" s="46" t="str">
        <f aca="false">IF(C88="","",IF(OR(ISNUMBER(SEARCH("amazon",C88)),ISNUMBER(SEARCH("walmart",C88)),ISNUMBER(SEARCH("aliexpress",C88)),ISNUMBER(SEARCH("temu",C88))),"⚠ Retail source — not allowed","✓ Wholesale / own stock"))</f>
        <v/>
      </c>
      <c r="AJ88" s="47" t="str">
        <f aca="false">IF(OR(K88="",G88=""),"",IF(LEFT(AI88,1)="⚠","❌ SKIP",IF(AND(AC88&gt;=Settings!$B$15,AF88&gt;=Settings!$B$16,OR(R88="",N(R88)&gt;=Settings!$B$17)),"✅ GO",IF(AC88&gt;0,"⚠ CHECK","❌ SKIP"))))</f>
        <v/>
      </c>
      <c r="AK88" s="38"/>
    </row>
    <row r="89" customFormat="false" ht="15" hidden="false" customHeight="false" outlineLevel="0" collapsed="false">
      <c r="A89" s="37" t="str">
        <f aca="false">IF(B89="","",ROW()-4)</f>
        <v/>
      </c>
      <c r="B89" s="38"/>
      <c r="C89" s="39"/>
      <c r="D89" s="38"/>
      <c r="E89" s="38"/>
      <c r="F89" s="38"/>
      <c r="G89" s="40"/>
      <c r="H89" s="40"/>
      <c r="I89" s="40"/>
      <c r="J89" s="41" t="str">
        <f aca="false">IF(G89="","",G89+N(H89)+N(I89))</f>
        <v/>
      </c>
      <c r="K89" s="40"/>
      <c r="L89" s="40"/>
      <c r="M89" s="42"/>
      <c r="N89" s="42"/>
      <c r="O89" s="39"/>
      <c r="P89" s="38"/>
      <c r="Q89" s="38"/>
      <c r="R89" s="43" t="str">
        <f aca="false">IF(OR(P89="",Q89=""),"",P89/(P89+Q89))</f>
        <v/>
      </c>
      <c r="S89" s="41" t="str">
        <f aca="false">IF(OR(K89="",G89=""),"",K89+N(L89))</f>
        <v/>
      </c>
      <c r="T89" s="41" t="str">
        <f aca="false">IF(OR(K89="",G89=""),"",S89*Settings!$B$10)</f>
        <v/>
      </c>
      <c r="U89" s="41" t="str">
        <f aca="false">IF(OR(K89="",G89=""),"",(S89+T89)*IF(N89="",Settings!$B$5,N89))</f>
        <v/>
      </c>
      <c r="V89" s="41" t="str">
        <f aca="false">IF(OR(K89="",G89=""),"",IF(S89+T89&lt;=Settings!$B$8,Settings!$B$6,Settings!$B$7))</f>
        <v/>
      </c>
      <c r="W89" s="41" t="str">
        <f aca="false">IF(OR(K89="",G89=""),"",S89*IF(UPPER(O89)="Y",Settings!$B$9,0))</f>
        <v/>
      </c>
      <c r="X89" s="41" t="str">
        <f aca="false">IF(OR(K89="",G89=""),"",(S89+T89)*IF(M89="",Settings!$B$11,M89))</f>
        <v/>
      </c>
      <c r="Y89" s="41" t="str">
        <f aca="false">IF(OR(K89="",G89=""),"",U89+V89+W89+X89)</f>
        <v/>
      </c>
      <c r="Z89" s="41" t="str">
        <f aca="false">IF(OR(K89="",G89=""),"",S89-Y89)</f>
        <v/>
      </c>
      <c r="AA89" s="41" t="str">
        <f aca="false">IF(OR(K89="",G89=""),"",Z89*Settings!$B$12)</f>
        <v/>
      </c>
      <c r="AB89" s="41" t="str">
        <f aca="false">IF(OR(K89="",G89=""),"",S89*Settings!$B$13)</f>
        <v/>
      </c>
      <c r="AC89" s="44" t="str">
        <f aca="false">IF(OR(K89="",G89=""),"",Z89-AA89-AB89-J89)</f>
        <v/>
      </c>
      <c r="AD89" s="45" t="str">
        <f aca="false">IF(OR(K89="",G89=""),"",AC89*Settings!$B$14)</f>
        <v/>
      </c>
      <c r="AE89" s="43" t="str">
        <f aca="false">IF(OR(K89="",G89=""),"",IF(S89=0,"",AC89/S89))</f>
        <v/>
      </c>
      <c r="AF89" s="43" t="str">
        <f aca="false">IF(OR(K89="",G89=""),"",IF(J89=0,"",AC89/J89))</f>
        <v/>
      </c>
      <c r="AG89" s="41" t="str">
        <f aca="false">IF(OR(K89="",G89=""),"",(J89+V89)/(1-(1+Settings!$B$10)*(IF(N89="",Settings!$B$5,N89)+IF(M89="",Settings!$B$11,M89))-IF(UPPER(O89)="Y",Settings!$B$9,0)-Settings!$B$13-Settings!$B$12)-N(L89))</f>
        <v/>
      </c>
      <c r="AH89" s="41" t="str">
        <f aca="false">IF(OR(K89="",G89=""),"",(J89+V89+Settings!$B$15)/(1-(1+Settings!$B$10)*(IF(N89="",Settings!$B$5,N89)+IF(M89="",Settings!$B$11,M89))-IF(UPPER(O89)="Y",Settings!$B$9,0)-Settings!$B$13-Settings!$B$12)-N(L89))</f>
        <v/>
      </c>
      <c r="AI89" s="46" t="str">
        <f aca="false">IF(C89="","",IF(OR(ISNUMBER(SEARCH("amazon",C89)),ISNUMBER(SEARCH("walmart",C89)),ISNUMBER(SEARCH("aliexpress",C89)),ISNUMBER(SEARCH("temu",C89))),"⚠ Retail source — not allowed","✓ Wholesale / own stock"))</f>
        <v/>
      </c>
      <c r="AJ89" s="47" t="str">
        <f aca="false">IF(OR(K89="",G89=""),"",IF(LEFT(AI89,1)="⚠","❌ SKIP",IF(AND(AC89&gt;=Settings!$B$15,AF89&gt;=Settings!$B$16,OR(R89="",N(R89)&gt;=Settings!$B$17)),"✅ GO",IF(AC89&gt;0,"⚠ CHECK","❌ SKIP"))))</f>
        <v/>
      </c>
      <c r="AK89" s="38"/>
    </row>
    <row r="90" customFormat="false" ht="15" hidden="false" customHeight="false" outlineLevel="0" collapsed="false">
      <c r="A90" s="37" t="str">
        <f aca="false">IF(B90="","",ROW()-4)</f>
        <v/>
      </c>
      <c r="B90" s="38"/>
      <c r="C90" s="39"/>
      <c r="D90" s="38"/>
      <c r="E90" s="38"/>
      <c r="F90" s="38"/>
      <c r="G90" s="40"/>
      <c r="H90" s="40"/>
      <c r="I90" s="40"/>
      <c r="J90" s="41" t="str">
        <f aca="false">IF(G90="","",G90+N(H90)+N(I90))</f>
        <v/>
      </c>
      <c r="K90" s="40"/>
      <c r="L90" s="40"/>
      <c r="M90" s="42"/>
      <c r="N90" s="42"/>
      <c r="O90" s="39"/>
      <c r="P90" s="38"/>
      <c r="Q90" s="38"/>
      <c r="R90" s="43" t="str">
        <f aca="false">IF(OR(P90="",Q90=""),"",P90/(P90+Q90))</f>
        <v/>
      </c>
      <c r="S90" s="41" t="str">
        <f aca="false">IF(OR(K90="",G90=""),"",K90+N(L90))</f>
        <v/>
      </c>
      <c r="T90" s="41" t="str">
        <f aca="false">IF(OR(K90="",G90=""),"",S90*Settings!$B$10)</f>
        <v/>
      </c>
      <c r="U90" s="41" t="str">
        <f aca="false">IF(OR(K90="",G90=""),"",(S90+T90)*IF(N90="",Settings!$B$5,N90))</f>
        <v/>
      </c>
      <c r="V90" s="41" t="str">
        <f aca="false">IF(OR(K90="",G90=""),"",IF(S90+T90&lt;=Settings!$B$8,Settings!$B$6,Settings!$B$7))</f>
        <v/>
      </c>
      <c r="W90" s="41" t="str">
        <f aca="false">IF(OR(K90="",G90=""),"",S90*IF(UPPER(O90)="Y",Settings!$B$9,0))</f>
        <v/>
      </c>
      <c r="X90" s="41" t="str">
        <f aca="false">IF(OR(K90="",G90=""),"",(S90+T90)*IF(M90="",Settings!$B$11,M90))</f>
        <v/>
      </c>
      <c r="Y90" s="41" t="str">
        <f aca="false">IF(OR(K90="",G90=""),"",U90+V90+W90+X90)</f>
        <v/>
      </c>
      <c r="Z90" s="41" t="str">
        <f aca="false">IF(OR(K90="",G90=""),"",S90-Y90)</f>
        <v/>
      </c>
      <c r="AA90" s="41" t="str">
        <f aca="false">IF(OR(K90="",G90=""),"",Z90*Settings!$B$12)</f>
        <v/>
      </c>
      <c r="AB90" s="41" t="str">
        <f aca="false">IF(OR(K90="",G90=""),"",S90*Settings!$B$13)</f>
        <v/>
      </c>
      <c r="AC90" s="44" t="str">
        <f aca="false">IF(OR(K90="",G90=""),"",Z90-AA90-AB90-J90)</f>
        <v/>
      </c>
      <c r="AD90" s="45" t="str">
        <f aca="false">IF(OR(K90="",G90=""),"",AC90*Settings!$B$14)</f>
        <v/>
      </c>
      <c r="AE90" s="43" t="str">
        <f aca="false">IF(OR(K90="",G90=""),"",IF(S90=0,"",AC90/S90))</f>
        <v/>
      </c>
      <c r="AF90" s="43" t="str">
        <f aca="false">IF(OR(K90="",G90=""),"",IF(J90=0,"",AC90/J90))</f>
        <v/>
      </c>
      <c r="AG90" s="41" t="str">
        <f aca="false">IF(OR(K90="",G90=""),"",(J90+V90)/(1-(1+Settings!$B$10)*(IF(N90="",Settings!$B$5,N90)+IF(M90="",Settings!$B$11,M90))-IF(UPPER(O90)="Y",Settings!$B$9,0)-Settings!$B$13-Settings!$B$12)-N(L90))</f>
        <v/>
      </c>
      <c r="AH90" s="41" t="str">
        <f aca="false">IF(OR(K90="",G90=""),"",(J90+V90+Settings!$B$15)/(1-(1+Settings!$B$10)*(IF(N90="",Settings!$B$5,N90)+IF(M90="",Settings!$B$11,M90))-IF(UPPER(O90)="Y",Settings!$B$9,0)-Settings!$B$13-Settings!$B$12)-N(L90))</f>
        <v/>
      </c>
      <c r="AI90" s="46" t="str">
        <f aca="false">IF(C90="","",IF(OR(ISNUMBER(SEARCH("amazon",C90)),ISNUMBER(SEARCH("walmart",C90)),ISNUMBER(SEARCH("aliexpress",C90)),ISNUMBER(SEARCH("temu",C90))),"⚠ Retail source — not allowed","✓ Wholesale / own stock"))</f>
        <v/>
      </c>
      <c r="AJ90" s="47" t="str">
        <f aca="false">IF(OR(K90="",G90=""),"",IF(LEFT(AI90,1)="⚠","❌ SKIP",IF(AND(AC90&gt;=Settings!$B$15,AF90&gt;=Settings!$B$16,OR(R90="",N(R90)&gt;=Settings!$B$17)),"✅ GO",IF(AC90&gt;0,"⚠ CHECK","❌ SKIP"))))</f>
        <v/>
      </c>
      <c r="AK90" s="38"/>
    </row>
    <row r="91" customFormat="false" ht="15" hidden="false" customHeight="false" outlineLevel="0" collapsed="false">
      <c r="A91" s="37" t="str">
        <f aca="false">IF(B91="","",ROW()-4)</f>
        <v/>
      </c>
      <c r="B91" s="38"/>
      <c r="C91" s="39"/>
      <c r="D91" s="38"/>
      <c r="E91" s="38"/>
      <c r="F91" s="38"/>
      <c r="G91" s="40"/>
      <c r="H91" s="40"/>
      <c r="I91" s="40"/>
      <c r="J91" s="41" t="str">
        <f aca="false">IF(G91="","",G91+N(H91)+N(I91))</f>
        <v/>
      </c>
      <c r="K91" s="40"/>
      <c r="L91" s="40"/>
      <c r="M91" s="42"/>
      <c r="N91" s="42"/>
      <c r="O91" s="39"/>
      <c r="P91" s="38"/>
      <c r="Q91" s="38"/>
      <c r="R91" s="43" t="str">
        <f aca="false">IF(OR(P91="",Q91=""),"",P91/(P91+Q91))</f>
        <v/>
      </c>
      <c r="S91" s="41" t="str">
        <f aca="false">IF(OR(K91="",G91=""),"",K91+N(L91))</f>
        <v/>
      </c>
      <c r="T91" s="41" t="str">
        <f aca="false">IF(OR(K91="",G91=""),"",S91*Settings!$B$10)</f>
        <v/>
      </c>
      <c r="U91" s="41" t="str">
        <f aca="false">IF(OR(K91="",G91=""),"",(S91+T91)*IF(N91="",Settings!$B$5,N91))</f>
        <v/>
      </c>
      <c r="V91" s="41" t="str">
        <f aca="false">IF(OR(K91="",G91=""),"",IF(S91+T91&lt;=Settings!$B$8,Settings!$B$6,Settings!$B$7))</f>
        <v/>
      </c>
      <c r="W91" s="41" t="str">
        <f aca="false">IF(OR(K91="",G91=""),"",S91*IF(UPPER(O91)="Y",Settings!$B$9,0))</f>
        <v/>
      </c>
      <c r="X91" s="41" t="str">
        <f aca="false">IF(OR(K91="",G91=""),"",(S91+T91)*IF(M91="",Settings!$B$11,M91))</f>
        <v/>
      </c>
      <c r="Y91" s="41" t="str">
        <f aca="false">IF(OR(K91="",G91=""),"",U91+V91+W91+X91)</f>
        <v/>
      </c>
      <c r="Z91" s="41" t="str">
        <f aca="false">IF(OR(K91="",G91=""),"",S91-Y91)</f>
        <v/>
      </c>
      <c r="AA91" s="41" t="str">
        <f aca="false">IF(OR(K91="",G91=""),"",Z91*Settings!$B$12)</f>
        <v/>
      </c>
      <c r="AB91" s="41" t="str">
        <f aca="false">IF(OR(K91="",G91=""),"",S91*Settings!$B$13)</f>
        <v/>
      </c>
      <c r="AC91" s="44" t="str">
        <f aca="false">IF(OR(K91="",G91=""),"",Z91-AA91-AB91-J91)</f>
        <v/>
      </c>
      <c r="AD91" s="45" t="str">
        <f aca="false">IF(OR(K91="",G91=""),"",AC91*Settings!$B$14)</f>
        <v/>
      </c>
      <c r="AE91" s="43" t="str">
        <f aca="false">IF(OR(K91="",G91=""),"",IF(S91=0,"",AC91/S91))</f>
        <v/>
      </c>
      <c r="AF91" s="43" t="str">
        <f aca="false">IF(OR(K91="",G91=""),"",IF(J91=0,"",AC91/J91))</f>
        <v/>
      </c>
      <c r="AG91" s="41" t="str">
        <f aca="false">IF(OR(K91="",G91=""),"",(J91+V91)/(1-(1+Settings!$B$10)*(IF(N91="",Settings!$B$5,N91)+IF(M91="",Settings!$B$11,M91))-IF(UPPER(O91)="Y",Settings!$B$9,0)-Settings!$B$13-Settings!$B$12)-N(L91))</f>
        <v/>
      </c>
      <c r="AH91" s="41" t="str">
        <f aca="false">IF(OR(K91="",G91=""),"",(J91+V91+Settings!$B$15)/(1-(1+Settings!$B$10)*(IF(N91="",Settings!$B$5,N91)+IF(M91="",Settings!$B$11,M91))-IF(UPPER(O91)="Y",Settings!$B$9,0)-Settings!$B$13-Settings!$B$12)-N(L91))</f>
        <v/>
      </c>
      <c r="AI91" s="46" t="str">
        <f aca="false">IF(C91="","",IF(OR(ISNUMBER(SEARCH("amazon",C91)),ISNUMBER(SEARCH("walmart",C91)),ISNUMBER(SEARCH("aliexpress",C91)),ISNUMBER(SEARCH("temu",C91))),"⚠ Retail source — not allowed","✓ Wholesale / own stock"))</f>
        <v/>
      </c>
      <c r="AJ91" s="47" t="str">
        <f aca="false">IF(OR(K91="",G91=""),"",IF(LEFT(AI91,1)="⚠","❌ SKIP",IF(AND(AC91&gt;=Settings!$B$15,AF91&gt;=Settings!$B$16,OR(R91="",N(R91)&gt;=Settings!$B$17)),"✅ GO",IF(AC91&gt;0,"⚠ CHECK","❌ SKIP"))))</f>
        <v/>
      </c>
      <c r="AK91" s="38"/>
    </row>
    <row r="92" customFormat="false" ht="15" hidden="false" customHeight="false" outlineLevel="0" collapsed="false">
      <c r="A92" s="37" t="str">
        <f aca="false">IF(B92="","",ROW()-4)</f>
        <v/>
      </c>
      <c r="B92" s="38"/>
      <c r="C92" s="39"/>
      <c r="D92" s="38"/>
      <c r="E92" s="38"/>
      <c r="F92" s="38"/>
      <c r="G92" s="40"/>
      <c r="H92" s="40"/>
      <c r="I92" s="40"/>
      <c r="J92" s="41" t="str">
        <f aca="false">IF(G92="","",G92+N(H92)+N(I92))</f>
        <v/>
      </c>
      <c r="K92" s="40"/>
      <c r="L92" s="40"/>
      <c r="M92" s="42"/>
      <c r="N92" s="42"/>
      <c r="O92" s="39"/>
      <c r="P92" s="38"/>
      <c r="Q92" s="38"/>
      <c r="R92" s="43" t="str">
        <f aca="false">IF(OR(P92="",Q92=""),"",P92/(P92+Q92))</f>
        <v/>
      </c>
      <c r="S92" s="41" t="str">
        <f aca="false">IF(OR(K92="",G92=""),"",K92+N(L92))</f>
        <v/>
      </c>
      <c r="T92" s="41" t="str">
        <f aca="false">IF(OR(K92="",G92=""),"",S92*Settings!$B$10)</f>
        <v/>
      </c>
      <c r="U92" s="41" t="str">
        <f aca="false">IF(OR(K92="",G92=""),"",(S92+T92)*IF(N92="",Settings!$B$5,N92))</f>
        <v/>
      </c>
      <c r="V92" s="41" t="str">
        <f aca="false">IF(OR(K92="",G92=""),"",IF(S92+T92&lt;=Settings!$B$8,Settings!$B$6,Settings!$B$7))</f>
        <v/>
      </c>
      <c r="W92" s="41" t="str">
        <f aca="false">IF(OR(K92="",G92=""),"",S92*IF(UPPER(O92)="Y",Settings!$B$9,0))</f>
        <v/>
      </c>
      <c r="X92" s="41" t="str">
        <f aca="false">IF(OR(K92="",G92=""),"",(S92+T92)*IF(M92="",Settings!$B$11,M92))</f>
        <v/>
      </c>
      <c r="Y92" s="41" t="str">
        <f aca="false">IF(OR(K92="",G92=""),"",U92+V92+W92+X92)</f>
        <v/>
      </c>
      <c r="Z92" s="41" t="str">
        <f aca="false">IF(OR(K92="",G92=""),"",S92-Y92)</f>
        <v/>
      </c>
      <c r="AA92" s="41" t="str">
        <f aca="false">IF(OR(K92="",G92=""),"",Z92*Settings!$B$12)</f>
        <v/>
      </c>
      <c r="AB92" s="41" t="str">
        <f aca="false">IF(OR(K92="",G92=""),"",S92*Settings!$B$13)</f>
        <v/>
      </c>
      <c r="AC92" s="44" t="str">
        <f aca="false">IF(OR(K92="",G92=""),"",Z92-AA92-AB92-J92)</f>
        <v/>
      </c>
      <c r="AD92" s="45" t="str">
        <f aca="false">IF(OR(K92="",G92=""),"",AC92*Settings!$B$14)</f>
        <v/>
      </c>
      <c r="AE92" s="43" t="str">
        <f aca="false">IF(OR(K92="",G92=""),"",IF(S92=0,"",AC92/S92))</f>
        <v/>
      </c>
      <c r="AF92" s="43" t="str">
        <f aca="false">IF(OR(K92="",G92=""),"",IF(J92=0,"",AC92/J92))</f>
        <v/>
      </c>
      <c r="AG92" s="41" t="str">
        <f aca="false">IF(OR(K92="",G92=""),"",(J92+V92)/(1-(1+Settings!$B$10)*(IF(N92="",Settings!$B$5,N92)+IF(M92="",Settings!$B$11,M92))-IF(UPPER(O92)="Y",Settings!$B$9,0)-Settings!$B$13-Settings!$B$12)-N(L92))</f>
        <v/>
      </c>
      <c r="AH92" s="41" t="str">
        <f aca="false">IF(OR(K92="",G92=""),"",(J92+V92+Settings!$B$15)/(1-(1+Settings!$B$10)*(IF(N92="",Settings!$B$5,N92)+IF(M92="",Settings!$B$11,M92))-IF(UPPER(O92)="Y",Settings!$B$9,0)-Settings!$B$13-Settings!$B$12)-N(L92))</f>
        <v/>
      </c>
      <c r="AI92" s="46" t="str">
        <f aca="false">IF(C92="","",IF(OR(ISNUMBER(SEARCH("amazon",C92)),ISNUMBER(SEARCH("walmart",C92)),ISNUMBER(SEARCH("aliexpress",C92)),ISNUMBER(SEARCH("temu",C92))),"⚠ Retail source — not allowed","✓ Wholesale / own stock"))</f>
        <v/>
      </c>
      <c r="AJ92" s="47" t="str">
        <f aca="false">IF(OR(K92="",G92=""),"",IF(LEFT(AI92,1)="⚠","❌ SKIP",IF(AND(AC92&gt;=Settings!$B$15,AF92&gt;=Settings!$B$16,OR(R92="",N(R92)&gt;=Settings!$B$17)),"✅ GO",IF(AC92&gt;0,"⚠ CHECK","❌ SKIP"))))</f>
        <v/>
      </c>
      <c r="AK92" s="38"/>
    </row>
    <row r="93" customFormat="false" ht="15" hidden="false" customHeight="false" outlineLevel="0" collapsed="false">
      <c r="A93" s="37" t="str">
        <f aca="false">IF(B93="","",ROW()-4)</f>
        <v/>
      </c>
      <c r="B93" s="38"/>
      <c r="C93" s="39"/>
      <c r="D93" s="38"/>
      <c r="E93" s="38"/>
      <c r="F93" s="38"/>
      <c r="G93" s="40"/>
      <c r="H93" s="40"/>
      <c r="I93" s="40"/>
      <c r="J93" s="41" t="str">
        <f aca="false">IF(G93="","",G93+N(H93)+N(I93))</f>
        <v/>
      </c>
      <c r="K93" s="40"/>
      <c r="L93" s="40"/>
      <c r="M93" s="42"/>
      <c r="N93" s="42"/>
      <c r="O93" s="39"/>
      <c r="P93" s="38"/>
      <c r="Q93" s="38"/>
      <c r="R93" s="43" t="str">
        <f aca="false">IF(OR(P93="",Q93=""),"",P93/(P93+Q93))</f>
        <v/>
      </c>
      <c r="S93" s="41" t="str">
        <f aca="false">IF(OR(K93="",G93=""),"",K93+N(L93))</f>
        <v/>
      </c>
      <c r="T93" s="41" t="str">
        <f aca="false">IF(OR(K93="",G93=""),"",S93*Settings!$B$10)</f>
        <v/>
      </c>
      <c r="U93" s="41" t="str">
        <f aca="false">IF(OR(K93="",G93=""),"",(S93+T93)*IF(N93="",Settings!$B$5,N93))</f>
        <v/>
      </c>
      <c r="V93" s="41" t="str">
        <f aca="false">IF(OR(K93="",G93=""),"",IF(S93+T93&lt;=Settings!$B$8,Settings!$B$6,Settings!$B$7))</f>
        <v/>
      </c>
      <c r="W93" s="41" t="str">
        <f aca="false">IF(OR(K93="",G93=""),"",S93*IF(UPPER(O93)="Y",Settings!$B$9,0))</f>
        <v/>
      </c>
      <c r="X93" s="41" t="str">
        <f aca="false">IF(OR(K93="",G93=""),"",(S93+T93)*IF(M93="",Settings!$B$11,M93))</f>
        <v/>
      </c>
      <c r="Y93" s="41" t="str">
        <f aca="false">IF(OR(K93="",G93=""),"",U93+V93+W93+X93)</f>
        <v/>
      </c>
      <c r="Z93" s="41" t="str">
        <f aca="false">IF(OR(K93="",G93=""),"",S93-Y93)</f>
        <v/>
      </c>
      <c r="AA93" s="41" t="str">
        <f aca="false">IF(OR(K93="",G93=""),"",Z93*Settings!$B$12)</f>
        <v/>
      </c>
      <c r="AB93" s="41" t="str">
        <f aca="false">IF(OR(K93="",G93=""),"",S93*Settings!$B$13)</f>
        <v/>
      </c>
      <c r="AC93" s="44" t="str">
        <f aca="false">IF(OR(K93="",G93=""),"",Z93-AA93-AB93-J93)</f>
        <v/>
      </c>
      <c r="AD93" s="45" t="str">
        <f aca="false">IF(OR(K93="",G93=""),"",AC93*Settings!$B$14)</f>
        <v/>
      </c>
      <c r="AE93" s="43" t="str">
        <f aca="false">IF(OR(K93="",G93=""),"",IF(S93=0,"",AC93/S93))</f>
        <v/>
      </c>
      <c r="AF93" s="43" t="str">
        <f aca="false">IF(OR(K93="",G93=""),"",IF(J93=0,"",AC93/J93))</f>
        <v/>
      </c>
      <c r="AG93" s="41" t="str">
        <f aca="false">IF(OR(K93="",G93=""),"",(J93+V93)/(1-(1+Settings!$B$10)*(IF(N93="",Settings!$B$5,N93)+IF(M93="",Settings!$B$11,M93))-IF(UPPER(O93)="Y",Settings!$B$9,0)-Settings!$B$13-Settings!$B$12)-N(L93))</f>
        <v/>
      </c>
      <c r="AH93" s="41" t="str">
        <f aca="false">IF(OR(K93="",G93=""),"",(J93+V93+Settings!$B$15)/(1-(1+Settings!$B$10)*(IF(N93="",Settings!$B$5,N93)+IF(M93="",Settings!$B$11,M93))-IF(UPPER(O93)="Y",Settings!$B$9,0)-Settings!$B$13-Settings!$B$12)-N(L93))</f>
        <v/>
      </c>
      <c r="AI93" s="46" t="str">
        <f aca="false">IF(C93="","",IF(OR(ISNUMBER(SEARCH("amazon",C93)),ISNUMBER(SEARCH("walmart",C93)),ISNUMBER(SEARCH("aliexpress",C93)),ISNUMBER(SEARCH("temu",C93))),"⚠ Retail source — not allowed","✓ Wholesale / own stock"))</f>
        <v/>
      </c>
      <c r="AJ93" s="47" t="str">
        <f aca="false">IF(OR(K93="",G93=""),"",IF(LEFT(AI93,1)="⚠","❌ SKIP",IF(AND(AC93&gt;=Settings!$B$15,AF93&gt;=Settings!$B$16,OR(R93="",N(R93)&gt;=Settings!$B$17)),"✅ GO",IF(AC93&gt;0,"⚠ CHECK","❌ SKIP"))))</f>
        <v/>
      </c>
      <c r="AK93" s="38"/>
    </row>
    <row r="94" customFormat="false" ht="15" hidden="false" customHeight="false" outlineLevel="0" collapsed="false">
      <c r="A94" s="37" t="str">
        <f aca="false">IF(B94="","",ROW()-4)</f>
        <v/>
      </c>
      <c r="B94" s="38"/>
      <c r="C94" s="39"/>
      <c r="D94" s="38"/>
      <c r="E94" s="38"/>
      <c r="F94" s="38"/>
      <c r="G94" s="40"/>
      <c r="H94" s="40"/>
      <c r="I94" s="40"/>
      <c r="J94" s="41" t="str">
        <f aca="false">IF(G94="","",G94+N(H94)+N(I94))</f>
        <v/>
      </c>
      <c r="K94" s="40"/>
      <c r="L94" s="40"/>
      <c r="M94" s="42"/>
      <c r="N94" s="42"/>
      <c r="O94" s="39"/>
      <c r="P94" s="38"/>
      <c r="Q94" s="38"/>
      <c r="R94" s="43" t="str">
        <f aca="false">IF(OR(P94="",Q94=""),"",P94/(P94+Q94))</f>
        <v/>
      </c>
      <c r="S94" s="41" t="str">
        <f aca="false">IF(OR(K94="",G94=""),"",K94+N(L94))</f>
        <v/>
      </c>
      <c r="T94" s="41" t="str">
        <f aca="false">IF(OR(K94="",G94=""),"",S94*Settings!$B$10)</f>
        <v/>
      </c>
      <c r="U94" s="41" t="str">
        <f aca="false">IF(OR(K94="",G94=""),"",(S94+T94)*IF(N94="",Settings!$B$5,N94))</f>
        <v/>
      </c>
      <c r="V94" s="41" t="str">
        <f aca="false">IF(OR(K94="",G94=""),"",IF(S94+T94&lt;=Settings!$B$8,Settings!$B$6,Settings!$B$7))</f>
        <v/>
      </c>
      <c r="W94" s="41" t="str">
        <f aca="false">IF(OR(K94="",G94=""),"",S94*IF(UPPER(O94)="Y",Settings!$B$9,0))</f>
        <v/>
      </c>
      <c r="X94" s="41" t="str">
        <f aca="false">IF(OR(K94="",G94=""),"",(S94+T94)*IF(M94="",Settings!$B$11,M94))</f>
        <v/>
      </c>
      <c r="Y94" s="41" t="str">
        <f aca="false">IF(OR(K94="",G94=""),"",U94+V94+W94+X94)</f>
        <v/>
      </c>
      <c r="Z94" s="41" t="str">
        <f aca="false">IF(OR(K94="",G94=""),"",S94-Y94)</f>
        <v/>
      </c>
      <c r="AA94" s="41" t="str">
        <f aca="false">IF(OR(K94="",G94=""),"",Z94*Settings!$B$12)</f>
        <v/>
      </c>
      <c r="AB94" s="41" t="str">
        <f aca="false">IF(OR(K94="",G94=""),"",S94*Settings!$B$13)</f>
        <v/>
      </c>
      <c r="AC94" s="44" t="str">
        <f aca="false">IF(OR(K94="",G94=""),"",Z94-AA94-AB94-J94)</f>
        <v/>
      </c>
      <c r="AD94" s="45" t="str">
        <f aca="false">IF(OR(K94="",G94=""),"",AC94*Settings!$B$14)</f>
        <v/>
      </c>
      <c r="AE94" s="43" t="str">
        <f aca="false">IF(OR(K94="",G94=""),"",IF(S94=0,"",AC94/S94))</f>
        <v/>
      </c>
      <c r="AF94" s="43" t="str">
        <f aca="false">IF(OR(K94="",G94=""),"",IF(J94=0,"",AC94/J94))</f>
        <v/>
      </c>
      <c r="AG94" s="41" t="str">
        <f aca="false">IF(OR(K94="",G94=""),"",(J94+V94)/(1-(1+Settings!$B$10)*(IF(N94="",Settings!$B$5,N94)+IF(M94="",Settings!$B$11,M94))-IF(UPPER(O94)="Y",Settings!$B$9,0)-Settings!$B$13-Settings!$B$12)-N(L94))</f>
        <v/>
      </c>
      <c r="AH94" s="41" t="str">
        <f aca="false">IF(OR(K94="",G94=""),"",(J94+V94+Settings!$B$15)/(1-(1+Settings!$B$10)*(IF(N94="",Settings!$B$5,N94)+IF(M94="",Settings!$B$11,M94))-IF(UPPER(O94)="Y",Settings!$B$9,0)-Settings!$B$13-Settings!$B$12)-N(L94))</f>
        <v/>
      </c>
      <c r="AI94" s="46" t="str">
        <f aca="false">IF(C94="","",IF(OR(ISNUMBER(SEARCH("amazon",C94)),ISNUMBER(SEARCH("walmart",C94)),ISNUMBER(SEARCH("aliexpress",C94)),ISNUMBER(SEARCH("temu",C94))),"⚠ Retail source — not allowed","✓ Wholesale / own stock"))</f>
        <v/>
      </c>
      <c r="AJ94" s="47" t="str">
        <f aca="false">IF(OR(K94="",G94=""),"",IF(LEFT(AI94,1)="⚠","❌ SKIP",IF(AND(AC94&gt;=Settings!$B$15,AF94&gt;=Settings!$B$16,OR(R94="",N(R94)&gt;=Settings!$B$17)),"✅ GO",IF(AC94&gt;0,"⚠ CHECK","❌ SKIP"))))</f>
        <v/>
      </c>
      <c r="AK94" s="38"/>
    </row>
    <row r="95" customFormat="false" ht="15" hidden="false" customHeight="false" outlineLevel="0" collapsed="false">
      <c r="A95" s="37" t="str">
        <f aca="false">IF(B95="","",ROW()-4)</f>
        <v/>
      </c>
      <c r="B95" s="38"/>
      <c r="C95" s="39"/>
      <c r="D95" s="38"/>
      <c r="E95" s="38"/>
      <c r="F95" s="38"/>
      <c r="G95" s="40"/>
      <c r="H95" s="40"/>
      <c r="I95" s="40"/>
      <c r="J95" s="41" t="str">
        <f aca="false">IF(G95="","",G95+N(H95)+N(I95))</f>
        <v/>
      </c>
      <c r="K95" s="40"/>
      <c r="L95" s="40"/>
      <c r="M95" s="42"/>
      <c r="N95" s="42"/>
      <c r="O95" s="39"/>
      <c r="P95" s="38"/>
      <c r="Q95" s="38"/>
      <c r="R95" s="43" t="str">
        <f aca="false">IF(OR(P95="",Q95=""),"",P95/(P95+Q95))</f>
        <v/>
      </c>
      <c r="S95" s="41" t="str">
        <f aca="false">IF(OR(K95="",G95=""),"",K95+N(L95))</f>
        <v/>
      </c>
      <c r="T95" s="41" t="str">
        <f aca="false">IF(OR(K95="",G95=""),"",S95*Settings!$B$10)</f>
        <v/>
      </c>
      <c r="U95" s="41" t="str">
        <f aca="false">IF(OR(K95="",G95=""),"",(S95+T95)*IF(N95="",Settings!$B$5,N95))</f>
        <v/>
      </c>
      <c r="V95" s="41" t="str">
        <f aca="false">IF(OR(K95="",G95=""),"",IF(S95+T95&lt;=Settings!$B$8,Settings!$B$6,Settings!$B$7))</f>
        <v/>
      </c>
      <c r="W95" s="41" t="str">
        <f aca="false">IF(OR(K95="",G95=""),"",S95*IF(UPPER(O95)="Y",Settings!$B$9,0))</f>
        <v/>
      </c>
      <c r="X95" s="41" t="str">
        <f aca="false">IF(OR(K95="",G95=""),"",(S95+T95)*IF(M95="",Settings!$B$11,M95))</f>
        <v/>
      </c>
      <c r="Y95" s="41" t="str">
        <f aca="false">IF(OR(K95="",G95=""),"",U95+V95+W95+X95)</f>
        <v/>
      </c>
      <c r="Z95" s="41" t="str">
        <f aca="false">IF(OR(K95="",G95=""),"",S95-Y95)</f>
        <v/>
      </c>
      <c r="AA95" s="41" t="str">
        <f aca="false">IF(OR(K95="",G95=""),"",Z95*Settings!$B$12)</f>
        <v/>
      </c>
      <c r="AB95" s="41" t="str">
        <f aca="false">IF(OR(K95="",G95=""),"",S95*Settings!$B$13)</f>
        <v/>
      </c>
      <c r="AC95" s="44" t="str">
        <f aca="false">IF(OR(K95="",G95=""),"",Z95-AA95-AB95-J95)</f>
        <v/>
      </c>
      <c r="AD95" s="45" t="str">
        <f aca="false">IF(OR(K95="",G95=""),"",AC95*Settings!$B$14)</f>
        <v/>
      </c>
      <c r="AE95" s="43" t="str">
        <f aca="false">IF(OR(K95="",G95=""),"",IF(S95=0,"",AC95/S95))</f>
        <v/>
      </c>
      <c r="AF95" s="43" t="str">
        <f aca="false">IF(OR(K95="",G95=""),"",IF(J95=0,"",AC95/J95))</f>
        <v/>
      </c>
      <c r="AG95" s="41" t="str">
        <f aca="false">IF(OR(K95="",G95=""),"",(J95+V95)/(1-(1+Settings!$B$10)*(IF(N95="",Settings!$B$5,N95)+IF(M95="",Settings!$B$11,M95))-IF(UPPER(O95)="Y",Settings!$B$9,0)-Settings!$B$13-Settings!$B$12)-N(L95))</f>
        <v/>
      </c>
      <c r="AH95" s="41" t="str">
        <f aca="false">IF(OR(K95="",G95=""),"",(J95+V95+Settings!$B$15)/(1-(1+Settings!$B$10)*(IF(N95="",Settings!$B$5,N95)+IF(M95="",Settings!$B$11,M95))-IF(UPPER(O95)="Y",Settings!$B$9,0)-Settings!$B$13-Settings!$B$12)-N(L95))</f>
        <v/>
      </c>
      <c r="AI95" s="46" t="str">
        <f aca="false">IF(C95="","",IF(OR(ISNUMBER(SEARCH("amazon",C95)),ISNUMBER(SEARCH("walmart",C95)),ISNUMBER(SEARCH("aliexpress",C95)),ISNUMBER(SEARCH("temu",C95))),"⚠ Retail source — not allowed","✓ Wholesale / own stock"))</f>
        <v/>
      </c>
      <c r="AJ95" s="47" t="str">
        <f aca="false">IF(OR(K95="",G95=""),"",IF(LEFT(AI95,1)="⚠","❌ SKIP",IF(AND(AC95&gt;=Settings!$B$15,AF95&gt;=Settings!$B$16,OR(R95="",N(R95)&gt;=Settings!$B$17)),"✅ GO",IF(AC95&gt;0,"⚠ CHECK","❌ SKIP"))))</f>
        <v/>
      </c>
      <c r="AK95" s="38"/>
    </row>
    <row r="96" customFormat="false" ht="15" hidden="false" customHeight="false" outlineLevel="0" collapsed="false">
      <c r="A96" s="37" t="str">
        <f aca="false">IF(B96="","",ROW()-4)</f>
        <v/>
      </c>
      <c r="B96" s="38"/>
      <c r="C96" s="39"/>
      <c r="D96" s="38"/>
      <c r="E96" s="38"/>
      <c r="F96" s="38"/>
      <c r="G96" s="40"/>
      <c r="H96" s="40"/>
      <c r="I96" s="40"/>
      <c r="J96" s="41" t="str">
        <f aca="false">IF(G96="","",G96+N(H96)+N(I96))</f>
        <v/>
      </c>
      <c r="K96" s="40"/>
      <c r="L96" s="40"/>
      <c r="M96" s="42"/>
      <c r="N96" s="42"/>
      <c r="O96" s="39"/>
      <c r="P96" s="38"/>
      <c r="Q96" s="38"/>
      <c r="R96" s="43" t="str">
        <f aca="false">IF(OR(P96="",Q96=""),"",P96/(P96+Q96))</f>
        <v/>
      </c>
      <c r="S96" s="41" t="str">
        <f aca="false">IF(OR(K96="",G96=""),"",K96+N(L96))</f>
        <v/>
      </c>
      <c r="T96" s="41" t="str">
        <f aca="false">IF(OR(K96="",G96=""),"",S96*Settings!$B$10)</f>
        <v/>
      </c>
      <c r="U96" s="41" t="str">
        <f aca="false">IF(OR(K96="",G96=""),"",(S96+T96)*IF(N96="",Settings!$B$5,N96))</f>
        <v/>
      </c>
      <c r="V96" s="41" t="str">
        <f aca="false">IF(OR(K96="",G96=""),"",IF(S96+T96&lt;=Settings!$B$8,Settings!$B$6,Settings!$B$7))</f>
        <v/>
      </c>
      <c r="W96" s="41" t="str">
        <f aca="false">IF(OR(K96="",G96=""),"",S96*IF(UPPER(O96)="Y",Settings!$B$9,0))</f>
        <v/>
      </c>
      <c r="X96" s="41" t="str">
        <f aca="false">IF(OR(K96="",G96=""),"",(S96+T96)*IF(M96="",Settings!$B$11,M96))</f>
        <v/>
      </c>
      <c r="Y96" s="41" t="str">
        <f aca="false">IF(OR(K96="",G96=""),"",U96+V96+W96+X96)</f>
        <v/>
      </c>
      <c r="Z96" s="41" t="str">
        <f aca="false">IF(OR(K96="",G96=""),"",S96-Y96)</f>
        <v/>
      </c>
      <c r="AA96" s="41" t="str">
        <f aca="false">IF(OR(K96="",G96=""),"",Z96*Settings!$B$12)</f>
        <v/>
      </c>
      <c r="AB96" s="41" t="str">
        <f aca="false">IF(OR(K96="",G96=""),"",S96*Settings!$B$13)</f>
        <v/>
      </c>
      <c r="AC96" s="44" t="str">
        <f aca="false">IF(OR(K96="",G96=""),"",Z96-AA96-AB96-J96)</f>
        <v/>
      </c>
      <c r="AD96" s="45" t="str">
        <f aca="false">IF(OR(K96="",G96=""),"",AC96*Settings!$B$14)</f>
        <v/>
      </c>
      <c r="AE96" s="43" t="str">
        <f aca="false">IF(OR(K96="",G96=""),"",IF(S96=0,"",AC96/S96))</f>
        <v/>
      </c>
      <c r="AF96" s="43" t="str">
        <f aca="false">IF(OR(K96="",G96=""),"",IF(J96=0,"",AC96/J96))</f>
        <v/>
      </c>
      <c r="AG96" s="41" t="str">
        <f aca="false">IF(OR(K96="",G96=""),"",(J96+V96)/(1-(1+Settings!$B$10)*(IF(N96="",Settings!$B$5,N96)+IF(M96="",Settings!$B$11,M96))-IF(UPPER(O96)="Y",Settings!$B$9,0)-Settings!$B$13-Settings!$B$12)-N(L96))</f>
        <v/>
      </c>
      <c r="AH96" s="41" t="str">
        <f aca="false">IF(OR(K96="",G96=""),"",(J96+V96+Settings!$B$15)/(1-(1+Settings!$B$10)*(IF(N96="",Settings!$B$5,N96)+IF(M96="",Settings!$B$11,M96))-IF(UPPER(O96)="Y",Settings!$B$9,0)-Settings!$B$13-Settings!$B$12)-N(L96))</f>
        <v/>
      </c>
      <c r="AI96" s="46" t="str">
        <f aca="false">IF(C96="","",IF(OR(ISNUMBER(SEARCH("amazon",C96)),ISNUMBER(SEARCH("walmart",C96)),ISNUMBER(SEARCH("aliexpress",C96)),ISNUMBER(SEARCH("temu",C96))),"⚠ Retail source — not allowed","✓ Wholesale / own stock"))</f>
        <v/>
      </c>
      <c r="AJ96" s="47" t="str">
        <f aca="false">IF(OR(K96="",G96=""),"",IF(LEFT(AI96,1)="⚠","❌ SKIP",IF(AND(AC96&gt;=Settings!$B$15,AF96&gt;=Settings!$B$16,OR(R96="",N(R96)&gt;=Settings!$B$17)),"✅ GO",IF(AC96&gt;0,"⚠ CHECK","❌ SKIP"))))</f>
        <v/>
      </c>
      <c r="AK96" s="38"/>
    </row>
    <row r="97" customFormat="false" ht="15" hidden="false" customHeight="false" outlineLevel="0" collapsed="false">
      <c r="A97" s="37" t="str">
        <f aca="false">IF(B97="","",ROW()-4)</f>
        <v/>
      </c>
      <c r="B97" s="38"/>
      <c r="C97" s="39"/>
      <c r="D97" s="38"/>
      <c r="E97" s="38"/>
      <c r="F97" s="38"/>
      <c r="G97" s="40"/>
      <c r="H97" s="40"/>
      <c r="I97" s="40"/>
      <c r="J97" s="41" t="str">
        <f aca="false">IF(G97="","",G97+N(H97)+N(I97))</f>
        <v/>
      </c>
      <c r="K97" s="40"/>
      <c r="L97" s="40"/>
      <c r="M97" s="42"/>
      <c r="N97" s="42"/>
      <c r="O97" s="39"/>
      <c r="P97" s="38"/>
      <c r="Q97" s="38"/>
      <c r="R97" s="43" t="str">
        <f aca="false">IF(OR(P97="",Q97=""),"",P97/(P97+Q97))</f>
        <v/>
      </c>
      <c r="S97" s="41" t="str">
        <f aca="false">IF(OR(K97="",G97=""),"",K97+N(L97))</f>
        <v/>
      </c>
      <c r="T97" s="41" t="str">
        <f aca="false">IF(OR(K97="",G97=""),"",S97*Settings!$B$10)</f>
        <v/>
      </c>
      <c r="U97" s="41" t="str">
        <f aca="false">IF(OR(K97="",G97=""),"",(S97+T97)*IF(N97="",Settings!$B$5,N97))</f>
        <v/>
      </c>
      <c r="V97" s="41" t="str">
        <f aca="false">IF(OR(K97="",G97=""),"",IF(S97+T97&lt;=Settings!$B$8,Settings!$B$6,Settings!$B$7))</f>
        <v/>
      </c>
      <c r="W97" s="41" t="str">
        <f aca="false">IF(OR(K97="",G97=""),"",S97*IF(UPPER(O97)="Y",Settings!$B$9,0))</f>
        <v/>
      </c>
      <c r="X97" s="41" t="str">
        <f aca="false">IF(OR(K97="",G97=""),"",(S97+T97)*IF(M97="",Settings!$B$11,M97))</f>
        <v/>
      </c>
      <c r="Y97" s="41" t="str">
        <f aca="false">IF(OR(K97="",G97=""),"",U97+V97+W97+X97)</f>
        <v/>
      </c>
      <c r="Z97" s="41" t="str">
        <f aca="false">IF(OR(K97="",G97=""),"",S97-Y97)</f>
        <v/>
      </c>
      <c r="AA97" s="41" t="str">
        <f aca="false">IF(OR(K97="",G97=""),"",Z97*Settings!$B$12)</f>
        <v/>
      </c>
      <c r="AB97" s="41" t="str">
        <f aca="false">IF(OR(K97="",G97=""),"",S97*Settings!$B$13)</f>
        <v/>
      </c>
      <c r="AC97" s="44" t="str">
        <f aca="false">IF(OR(K97="",G97=""),"",Z97-AA97-AB97-J97)</f>
        <v/>
      </c>
      <c r="AD97" s="45" t="str">
        <f aca="false">IF(OR(K97="",G97=""),"",AC97*Settings!$B$14)</f>
        <v/>
      </c>
      <c r="AE97" s="43" t="str">
        <f aca="false">IF(OR(K97="",G97=""),"",IF(S97=0,"",AC97/S97))</f>
        <v/>
      </c>
      <c r="AF97" s="43" t="str">
        <f aca="false">IF(OR(K97="",G97=""),"",IF(J97=0,"",AC97/J97))</f>
        <v/>
      </c>
      <c r="AG97" s="41" t="str">
        <f aca="false">IF(OR(K97="",G97=""),"",(J97+V97)/(1-(1+Settings!$B$10)*(IF(N97="",Settings!$B$5,N97)+IF(M97="",Settings!$B$11,M97))-IF(UPPER(O97)="Y",Settings!$B$9,0)-Settings!$B$13-Settings!$B$12)-N(L97))</f>
        <v/>
      </c>
      <c r="AH97" s="41" t="str">
        <f aca="false">IF(OR(K97="",G97=""),"",(J97+V97+Settings!$B$15)/(1-(1+Settings!$B$10)*(IF(N97="",Settings!$B$5,N97)+IF(M97="",Settings!$B$11,M97))-IF(UPPER(O97)="Y",Settings!$B$9,0)-Settings!$B$13-Settings!$B$12)-N(L97))</f>
        <v/>
      </c>
      <c r="AI97" s="46" t="str">
        <f aca="false">IF(C97="","",IF(OR(ISNUMBER(SEARCH("amazon",C97)),ISNUMBER(SEARCH("walmart",C97)),ISNUMBER(SEARCH("aliexpress",C97)),ISNUMBER(SEARCH("temu",C97))),"⚠ Retail source — not allowed","✓ Wholesale / own stock"))</f>
        <v/>
      </c>
      <c r="AJ97" s="47" t="str">
        <f aca="false">IF(OR(K97="",G97=""),"",IF(LEFT(AI97,1)="⚠","❌ SKIP",IF(AND(AC97&gt;=Settings!$B$15,AF97&gt;=Settings!$B$16,OR(R97="",N(R97)&gt;=Settings!$B$17)),"✅ GO",IF(AC97&gt;0,"⚠ CHECK","❌ SKIP"))))</f>
        <v/>
      </c>
      <c r="AK97" s="38"/>
    </row>
    <row r="98" customFormat="false" ht="15" hidden="false" customHeight="false" outlineLevel="0" collapsed="false">
      <c r="A98" s="37" t="str">
        <f aca="false">IF(B98="","",ROW()-4)</f>
        <v/>
      </c>
      <c r="B98" s="38"/>
      <c r="C98" s="39"/>
      <c r="D98" s="38"/>
      <c r="E98" s="38"/>
      <c r="F98" s="38"/>
      <c r="G98" s="40"/>
      <c r="H98" s="40"/>
      <c r="I98" s="40"/>
      <c r="J98" s="41" t="str">
        <f aca="false">IF(G98="","",G98+N(H98)+N(I98))</f>
        <v/>
      </c>
      <c r="K98" s="40"/>
      <c r="L98" s="40"/>
      <c r="M98" s="42"/>
      <c r="N98" s="42"/>
      <c r="O98" s="39"/>
      <c r="P98" s="38"/>
      <c r="Q98" s="38"/>
      <c r="R98" s="43" t="str">
        <f aca="false">IF(OR(P98="",Q98=""),"",P98/(P98+Q98))</f>
        <v/>
      </c>
      <c r="S98" s="41" t="str">
        <f aca="false">IF(OR(K98="",G98=""),"",K98+N(L98))</f>
        <v/>
      </c>
      <c r="T98" s="41" t="str">
        <f aca="false">IF(OR(K98="",G98=""),"",S98*Settings!$B$10)</f>
        <v/>
      </c>
      <c r="U98" s="41" t="str">
        <f aca="false">IF(OR(K98="",G98=""),"",(S98+T98)*IF(N98="",Settings!$B$5,N98))</f>
        <v/>
      </c>
      <c r="V98" s="41" t="str">
        <f aca="false">IF(OR(K98="",G98=""),"",IF(S98+T98&lt;=Settings!$B$8,Settings!$B$6,Settings!$B$7))</f>
        <v/>
      </c>
      <c r="W98" s="41" t="str">
        <f aca="false">IF(OR(K98="",G98=""),"",S98*IF(UPPER(O98)="Y",Settings!$B$9,0))</f>
        <v/>
      </c>
      <c r="X98" s="41" t="str">
        <f aca="false">IF(OR(K98="",G98=""),"",(S98+T98)*IF(M98="",Settings!$B$11,M98))</f>
        <v/>
      </c>
      <c r="Y98" s="41" t="str">
        <f aca="false">IF(OR(K98="",G98=""),"",U98+V98+W98+X98)</f>
        <v/>
      </c>
      <c r="Z98" s="41" t="str">
        <f aca="false">IF(OR(K98="",G98=""),"",S98-Y98)</f>
        <v/>
      </c>
      <c r="AA98" s="41" t="str">
        <f aca="false">IF(OR(K98="",G98=""),"",Z98*Settings!$B$12)</f>
        <v/>
      </c>
      <c r="AB98" s="41" t="str">
        <f aca="false">IF(OR(K98="",G98=""),"",S98*Settings!$B$13)</f>
        <v/>
      </c>
      <c r="AC98" s="44" t="str">
        <f aca="false">IF(OR(K98="",G98=""),"",Z98-AA98-AB98-J98)</f>
        <v/>
      </c>
      <c r="AD98" s="45" t="str">
        <f aca="false">IF(OR(K98="",G98=""),"",AC98*Settings!$B$14)</f>
        <v/>
      </c>
      <c r="AE98" s="43" t="str">
        <f aca="false">IF(OR(K98="",G98=""),"",IF(S98=0,"",AC98/S98))</f>
        <v/>
      </c>
      <c r="AF98" s="43" t="str">
        <f aca="false">IF(OR(K98="",G98=""),"",IF(J98=0,"",AC98/J98))</f>
        <v/>
      </c>
      <c r="AG98" s="41" t="str">
        <f aca="false">IF(OR(K98="",G98=""),"",(J98+V98)/(1-(1+Settings!$B$10)*(IF(N98="",Settings!$B$5,N98)+IF(M98="",Settings!$B$11,M98))-IF(UPPER(O98)="Y",Settings!$B$9,0)-Settings!$B$13-Settings!$B$12)-N(L98))</f>
        <v/>
      </c>
      <c r="AH98" s="41" t="str">
        <f aca="false">IF(OR(K98="",G98=""),"",(J98+V98+Settings!$B$15)/(1-(1+Settings!$B$10)*(IF(N98="",Settings!$B$5,N98)+IF(M98="",Settings!$B$11,M98))-IF(UPPER(O98)="Y",Settings!$B$9,0)-Settings!$B$13-Settings!$B$12)-N(L98))</f>
        <v/>
      </c>
      <c r="AI98" s="46" t="str">
        <f aca="false">IF(C98="","",IF(OR(ISNUMBER(SEARCH("amazon",C98)),ISNUMBER(SEARCH("walmart",C98)),ISNUMBER(SEARCH("aliexpress",C98)),ISNUMBER(SEARCH("temu",C98))),"⚠ Retail source — not allowed","✓ Wholesale / own stock"))</f>
        <v/>
      </c>
      <c r="AJ98" s="47" t="str">
        <f aca="false">IF(OR(K98="",G98=""),"",IF(LEFT(AI98,1)="⚠","❌ SKIP",IF(AND(AC98&gt;=Settings!$B$15,AF98&gt;=Settings!$B$16,OR(R98="",N(R98)&gt;=Settings!$B$17)),"✅ GO",IF(AC98&gt;0,"⚠ CHECK","❌ SKIP"))))</f>
        <v/>
      </c>
      <c r="AK98" s="38"/>
    </row>
    <row r="99" customFormat="false" ht="15" hidden="false" customHeight="false" outlineLevel="0" collapsed="false">
      <c r="A99" s="37" t="str">
        <f aca="false">IF(B99="","",ROW()-4)</f>
        <v/>
      </c>
      <c r="B99" s="38"/>
      <c r="C99" s="39"/>
      <c r="D99" s="38"/>
      <c r="E99" s="38"/>
      <c r="F99" s="38"/>
      <c r="G99" s="40"/>
      <c r="H99" s="40"/>
      <c r="I99" s="40"/>
      <c r="J99" s="41" t="str">
        <f aca="false">IF(G99="","",G99+N(H99)+N(I99))</f>
        <v/>
      </c>
      <c r="K99" s="40"/>
      <c r="L99" s="40"/>
      <c r="M99" s="42"/>
      <c r="N99" s="42"/>
      <c r="O99" s="39"/>
      <c r="P99" s="38"/>
      <c r="Q99" s="38"/>
      <c r="R99" s="43" t="str">
        <f aca="false">IF(OR(P99="",Q99=""),"",P99/(P99+Q99))</f>
        <v/>
      </c>
      <c r="S99" s="41" t="str">
        <f aca="false">IF(OR(K99="",G99=""),"",K99+N(L99))</f>
        <v/>
      </c>
      <c r="T99" s="41" t="str">
        <f aca="false">IF(OR(K99="",G99=""),"",S99*Settings!$B$10)</f>
        <v/>
      </c>
      <c r="U99" s="41" t="str">
        <f aca="false">IF(OR(K99="",G99=""),"",(S99+T99)*IF(N99="",Settings!$B$5,N99))</f>
        <v/>
      </c>
      <c r="V99" s="41" t="str">
        <f aca="false">IF(OR(K99="",G99=""),"",IF(S99+T99&lt;=Settings!$B$8,Settings!$B$6,Settings!$B$7))</f>
        <v/>
      </c>
      <c r="W99" s="41" t="str">
        <f aca="false">IF(OR(K99="",G99=""),"",S99*IF(UPPER(O99)="Y",Settings!$B$9,0))</f>
        <v/>
      </c>
      <c r="X99" s="41" t="str">
        <f aca="false">IF(OR(K99="",G99=""),"",(S99+T99)*IF(M99="",Settings!$B$11,M99))</f>
        <v/>
      </c>
      <c r="Y99" s="41" t="str">
        <f aca="false">IF(OR(K99="",G99=""),"",U99+V99+W99+X99)</f>
        <v/>
      </c>
      <c r="Z99" s="41" t="str">
        <f aca="false">IF(OR(K99="",G99=""),"",S99-Y99)</f>
        <v/>
      </c>
      <c r="AA99" s="41" t="str">
        <f aca="false">IF(OR(K99="",G99=""),"",Z99*Settings!$B$12)</f>
        <v/>
      </c>
      <c r="AB99" s="41" t="str">
        <f aca="false">IF(OR(K99="",G99=""),"",S99*Settings!$B$13)</f>
        <v/>
      </c>
      <c r="AC99" s="44" t="str">
        <f aca="false">IF(OR(K99="",G99=""),"",Z99-AA99-AB99-J99)</f>
        <v/>
      </c>
      <c r="AD99" s="45" t="str">
        <f aca="false">IF(OR(K99="",G99=""),"",AC99*Settings!$B$14)</f>
        <v/>
      </c>
      <c r="AE99" s="43" t="str">
        <f aca="false">IF(OR(K99="",G99=""),"",IF(S99=0,"",AC99/S99))</f>
        <v/>
      </c>
      <c r="AF99" s="43" t="str">
        <f aca="false">IF(OR(K99="",G99=""),"",IF(J99=0,"",AC99/J99))</f>
        <v/>
      </c>
      <c r="AG99" s="41" t="str">
        <f aca="false">IF(OR(K99="",G99=""),"",(J99+V99)/(1-(1+Settings!$B$10)*(IF(N99="",Settings!$B$5,N99)+IF(M99="",Settings!$B$11,M99))-IF(UPPER(O99)="Y",Settings!$B$9,0)-Settings!$B$13-Settings!$B$12)-N(L99))</f>
        <v/>
      </c>
      <c r="AH99" s="41" t="str">
        <f aca="false">IF(OR(K99="",G99=""),"",(J99+V99+Settings!$B$15)/(1-(1+Settings!$B$10)*(IF(N99="",Settings!$B$5,N99)+IF(M99="",Settings!$B$11,M99))-IF(UPPER(O99)="Y",Settings!$B$9,0)-Settings!$B$13-Settings!$B$12)-N(L99))</f>
        <v/>
      </c>
      <c r="AI99" s="46" t="str">
        <f aca="false">IF(C99="","",IF(OR(ISNUMBER(SEARCH("amazon",C99)),ISNUMBER(SEARCH("walmart",C99)),ISNUMBER(SEARCH("aliexpress",C99)),ISNUMBER(SEARCH("temu",C99))),"⚠ Retail source — not allowed","✓ Wholesale / own stock"))</f>
        <v/>
      </c>
      <c r="AJ99" s="47" t="str">
        <f aca="false">IF(OR(K99="",G99=""),"",IF(LEFT(AI99,1)="⚠","❌ SKIP",IF(AND(AC99&gt;=Settings!$B$15,AF99&gt;=Settings!$B$16,OR(R99="",N(R99)&gt;=Settings!$B$17)),"✅ GO",IF(AC99&gt;0,"⚠ CHECK","❌ SKIP"))))</f>
        <v/>
      </c>
      <c r="AK99" s="38"/>
    </row>
    <row r="100" customFormat="false" ht="15" hidden="false" customHeight="false" outlineLevel="0" collapsed="false">
      <c r="A100" s="37" t="str">
        <f aca="false">IF(B100="","",ROW()-4)</f>
        <v/>
      </c>
      <c r="B100" s="38"/>
      <c r="C100" s="39"/>
      <c r="D100" s="38"/>
      <c r="E100" s="38"/>
      <c r="F100" s="38"/>
      <c r="G100" s="40"/>
      <c r="H100" s="40"/>
      <c r="I100" s="40"/>
      <c r="J100" s="41" t="str">
        <f aca="false">IF(G100="","",G100+N(H100)+N(I100))</f>
        <v/>
      </c>
      <c r="K100" s="40"/>
      <c r="L100" s="40"/>
      <c r="M100" s="42"/>
      <c r="N100" s="42"/>
      <c r="O100" s="39"/>
      <c r="P100" s="38"/>
      <c r="Q100" s="38"/>
      <c r="R100" s="43" t="str">
        <f aca="false">IF(OR(P100="",Q100=""),"",P100/(P100+Q100))</f>
        <v/>
      </c>
      <c r="S100" s="41" t="str">
        <f aca="false">IF(OR(K100="",G100=""),"",K100+N(L100))</f>
        <v/>
      </c>
      <c r="T100" s="41" t="str">
        <f aca="false">IF(OR(K100="",G100=""),"",S100*Settings!$B$10)</f>
        <v/>
      </c>
      <c r="U100" s="41" t="str">
        <f aca="false">IF(OR(K100="",G100=""),"",(S100+T100)*IF(N100="",Settings!$B$5,N100))</f>
        <v/>
      </c>
      <c r="V100" s="41" t="str">
        <f aca="false">IF(OR(K100="",G100=""),"",IF(S100+T100&lt;=Settings!$B$8,Settings!$B$6,Settings!$B$7))</f>
        <v/>
      </c>
      <c r="W100" s="41" t="str">
        <f aca="false">IF(OR(K100="",G100=""),"",S100*IF(UPPER(O100)="Y",Settings!$B$9,0))</f>
        <v/>
      </c>
      <c r="X100" s="41" t="str">
        <f aca="false">IF(OR(K100="",G100=""),"",(S100+T100)*IF(M100="",Settings!$B$11,M100))</f>
        <v/>
      </c>
      <c r="Y100" s="41" t="str">
        <f aca="false">IF(OR(K100="",G100=""),"",U100+V100+W100+X100)</f>
        <v/>
      </c>
      <c r="Z100" s="41" t="str">
        <f aca="false">IF(OR(K100="",G100=""),"",S100-Y100)</f>
        <v/>
      </c>
      <c r="AA100" s="41" t="str">
        <f aca="false">IF(OR(K100="",G100=""),"",Z100*Settings!$B$12)</f>
        <v/>
      </c>
      <c r="AB100" s="41" t="str">
        <f aca="false">IF(OR(K100="",G100=""),"",S100*Settings!$B$13)</f>
        <v/>
      </c>
      <c r="AC100" s="44" t="str">
        <f aca="false">IF(OR(K100="",G100=""),"",Z100-AA100-AB100-J100)</f>
        <v/>
      </c>
      <c r="AD100" s="45" t="str">
        <f aca="false">IF(OR(K100="",G100=""),"",AC100*Settings!$B$14)</f>
        <v/>
      </c>
      <c r="AE100" s="43" t="str">
        <f aca="false">IF(OR(K100="",G100=""),"",IF(S100=0,"",AC100/S100))</f>
        <v/>
      </c>
      <c r="AF100" s="43" t="str">
        <f aca="false">IF(OR(K100="",G100=""),"",IF(J100=0,"",AC100/J100))</f>
        <v/>
      </c>
      <c r="AG100" s="41" t="str">
        <f aca="false">IF(OR(K100="",G100=""),"",(J100+V100)/(1-(1+Settings!$B$10)*(IF(N100="",Settings!$B$5,N100)+IF(M100="",Settings!$B$11,M100))-IF(UPPER(O100)="Y",Settings!$B$9,0)-Settings!$B$13-Settings!$B$12)-N(L100))</f>
        <v/>
      </c>
      <c r="AH100" s="41" t="str">
        <f aca="false">IF(OR(K100="",G100=""),"",(J100+V100+Settings!$B$15)/(1-(1+Settings!$B$10)*(IF(N100="",Settings!$B$5,N100)+IF(M100="",Settings!$B$11,M100))-IF(UPPER(O100)="Y",Settings!$B$9,0)-Settings!$B$13-Settings!$B$12)-N(L100))</f>
        <v/>
      </c>
      <c r="AI100" s="46" t="str">
        <f aca="false">IF(C100="","",IF(OR(ISNUMBER(SEARCH("amazon",C100)),ISNUMBER(SEARCH("walmart",C100)),ISNUMBER(SEARCH("aliexpress",C100)),ISNUMBER(SEARCH("temu",C100))),"⚠ Retail source — not allowed","✓ Wholesale / own stock"))</f>
        <v/>
      </c>
      <c r="AJ100" s="47" t="str">
        <f aca="false">IF(OR(K100="",G100=""),"",IF(LEFT(AI100,1)="⚠","❌ SKIP",IF(AND(AC100&gt;=Settings!$B$15,AF100&gt;=Settings!$B$16,OR(R100="",N(R100)&gt;=Settings!$B$17)),"✅ GO",IF(AC100&gt;0,"⚠ CHECK","❌ SKIP"))))</f>
        <v/>
      </c>
      <c r="AK100" s="38"/>
    </row>
    <row r="101" customFormat="false" ht="15" hidden="false" customHeight="false" outlineLevel="0" collapsed="false">
      <c r="A101" s="37" t="str">
        <f aca="false">IF(B101="","",ROW()-4)</f>
        <v/>
      </c>
      <c r="B101" s="38"/>
      <c r="C101" s="39"/>
      <c r="D101" s="38"/>
      <c r="E101" s="38"/>
      <c r="F101" s="38"/>
      <c r="G101" s="40"/>
      <c r="H101" s="40"/>
      <c r="I101" s="40"/>
      <c r="J101" s="41" t="str">
        <f aca="false">IF(G101="","",G101+N(H101)+N(I101))</f>
        <v/>
      </c>
      <c r="K101" s="40"/>
      <c r="L101" s="40"/>
      <c r="M101" s="42"/>
      <c r="N101" s="42"/>
      <c r="O101" s="39"/>
      <c r="P101" s="38"/>
      <c r="Q101" s="38"/>
      <c r="R101" s="43" t="str">
        <f aca="false">IF(OR(P101="",Q101=""),"",P101/(P101+Q101))</f>
        <v/>
      </c>
      <c r="S101" s="41" t="str">
        <f aca="false">IF(OR(K101="",G101=""),"",K101+N(L101))</f>
        <v/>
      </c>
      <c r="T101" s="41" t="str">
        <f aca="false">IF(OR(K101="",G101=""),"",S101*Settings!$B$10)</f>
        <v/>
      </c>
      <c r="U101" s="41" t="str">
        <f aca="false">IF(OR(K101="",G101=""),"",(S101+T101)*IF(N101="",Settings!$B$5,N101))</f>
        <v/>
      </c>
      <c r="V101" s="41" t="str">
        <f aca="false">IF(OR(K101="",G101=""),"",IF(S101+T101&lt;=Settings!$B$8,Settings!$B$6,Settings!$B$7))</f>
        <v/>
      </c>
      <c r="W101" s="41" t="str">
        <f aca="false">IF(OR(K101="",G101=""),"",S101*IF(UPPER(O101)="Y",Settings!$B$9,0))</f>
        <v/>
      </c>
      <c r="X101" s="41" t="str">
        <f aca="false">IF(OR(K101="",G101=""),"",(S101+T101)*IF(M101="",Settings!$B$11,M101))</f>
        <v/>
      </c>
      <c r="Y101" s="41" t="str">
        <f aca="false">IF(OR(K101="",G101=""),"",U101+V101+W101+X101)</f>
        <v/>
      </c>
      <c r="Z101" s="41" t="str">
        <f aca="false">IF(OR(K101="",G101=""),"",S101-Y101)</f>
        <v/>
      </c>
      <c r="AA101" s="41" t="str">
        <f aca="false">IF(OR(K101="",G101=""),"",Z101*Settings!$B$12)</f>
        <v/>
      </c>
      <c r="AB101" s="41" t="str">
        <f aca="false">IF(OR(K101="",G101=""),"",S101*Settings!$B$13)</f>
        <v/>
      </c>
      <c r="AC101" s="44" t="str">
        <f aca="false">IF(OR(K101="",G101=""),"",Z101-AA101-AB101-J101)</f>
        <v/>
      </c>
      <c r="AD101" s="45" t="str">
        <f aca="false">IF(OR(K101="",G101=""),"",AC101*Settings!$B$14)</f>
        <v/>
      </c>
      <c r="AE101" s="43" t="str">
        <f aca="false">IF(OR(K101="",G101=""),"",IF(S101=0,"",AC101/S101))</f>
        <v/>
      </c>
      <c r="AF101" s="43" t="str">
        <f aca="false">IF(OR(K101="",G101=""),"",IF(J101=0,"",AC101/J101))</f>
        <v/>
      </c>
      <c r="AG101" s="41" t="str">
        <f aca="false">IF(OR(K101="",G101=""),"",(J101+V101)/(1-(1+Settings!$B$10)*(IF(N101="",Settings!$B$5,N101)+IF(M101="",Settings!$B$11,M101))-IF(UPPER(O101)="Y",Settings!$B$9,0)-Settings!$B$13-Settings!$B$12)-N(L101))</f>
        <v/>
      </c>
      <c r="AH101" s="41" t="str">
        <f aca="false">IF(OR(K101="",G101=""),"",(J101+V101+Settings!$B$15)/(1-(1+Settings!$B$10)*(IF(N101="",Settings!$B$5,N101)+IF(M101="",Settings!$B$11,M101))-IF(UPPER(O101)="Y",Settings!$B$9,0)-Settings!$B$13-Settings!$B$12)-N(L101))</f>
        <v/>
      </c>
      <c r="AI101" s="46" t="str">
        <f aca="false">IF(C101="","",IF(OR(ISNUMBER(SEARCH("amazon",C101)),ISNUMBER(SEARCH("walmart",C101)),ISNUMBER(SEARCH("aliexpress",C101)),ISNUMBER(SEARCH("temu",C101))),"⚠ Retail source — not allowed","✓ Wholesale / own stock"))</f>
        <v/>
      </c>
      <c r="AJ101" s="47" t="str">
        <f aca="false">IF(OR(K101="",G101=""),"",IF(LEFT(AI101,1)="⚠","❌ SKIP",IF(AND(AC101&gt;=Settings!$B$15,AF101&gt;=Settings!$B$16,OR(R101="",N(R101)&gt;=Settings!$B$17)),"✅ GO",IF(AC101&gt;0,"⚠ CHECK","❌ SKIP"))))</f>
        <v/>
      </c>
      <c r="AK101" s="38"/>
    </row>
    <row r="102" customFormat="false" ht="15" hidden="false" customHeight="false" outlineLevel="0" collapsed="false">
      <c r="A102" s="37" t="str">
        <f aca="false">IF(B102="","",ROW()-4)</f>
        <v/>
      </c>
      <c r="B102" s="38"/>
      <c r="C102" s="39"/>
      <c r="D102" s="38"/>
      <c r="E102" s="38"/>
      <c r="F102" s="38"/>
      <c r="G102" s="40"/>
      <c r="H102" s="40"/>
      <c r="I102" s="40"/>
      <c r="J102" s="41" t="str">
        <f aca="false">IF(G102="","",G102+N(H102)+N(I102))</f>
        <v/>
      </c>
      <c r="K102" s="40"/>
      <c r="L102" s="40"/>
      <c r="M102" s="42"/>
      <c r="N102" s="42"/>
      <c r="O102" s="39"/>
      <c r="P102" s="38"/>
      <c r="Q102" s="38"/>
      <c r="R102" s="43" t="str">
        <f aca="false">IF(OR(P102="",Q102=""),"",P102/(P102+Q102))</f>
        <v/>
      </c>
      <c r="S102" s="41" t="str">
        <f aca="false">IF(OR(K102="",G102=""),"",K102+N(L102))</f>
        <v/>
      </c>
      <c r="T102" s="41" t="str">
        <f aca="false">IF(OR(K102="",G102=""),"",S102*Settings!$B$10)</f>
        <v/>
      </c>
      <c r="U102" s="41" t="str">
        <f aca="false">IF(OR(K102="",G102=""),"",(S102+T102)*IF(N102="",Settings!$B$5,N102))</f>
        <v/>
      </c>
      <c r="V102" s="41" t="str">
        <f aca="false">IF(OR(K102="",G102=""),"",IF(S102+T102&lt;=Settings!$B$8,Settings!$B$6,Settings!$B$7))</f>
        <v/>
      </c>
      <c r="W102" s="41" t="str">
        <f aca="false">IF(OR(K102="",G102=""),"",S102*IF(UPPER(O102)="Y",Settings!$B$9,0))</f>
        <v/>
      </c>
      <c r="X102" s="41" t="str">
        <f aca="false">IF(OR(K102="",G102=""),"",(S102+T102)*IF(M102="",Settings!$B$11,M102))</f>
        <v/>
      </c>
      <c r="Y102" s="41" t="str">
        <f aca="false">IF(OR(K102="",G102=""),"",U102+V102+W102+X102)</f>
        <v/>
      </c>
      <c r="Z102" s="41" t="str">
        <f aca="false">IF(OR(K102="",G102=""),"",S102-Y102)</f>
        <v/>
      </c>
      <c r="AA102" s="41" t="str">
        <f aca="false">IF(OR(K102="",G102=""),"",Z102*Settings!$B$12)</f>
        <v/>
      </c>
      <c r="AB102" s="41" t="str">
        <f aca="false">IF(OR(K102="",G102=""),"",S102*Settings!$B$13)</f>
        <v/>
      </c>
      <c r="AC102" s="44" t="str">
        <f aca="false">IF(OR(K102="",G102=""),"",Z102-AA102-AB102-J102)</f>
        <v/>
      </c>
      <c r="AD102" s="45" t="str">
        <f aca="false">IF(OR(K102="",G102=""),"",AC102*Settings!$B$14)</f>
        <v/>
      </c>
      <c r="AE102" s="43" t="str">
        <f aca="false">IF(OR(K102="",G102=""),"",IF(S102=0,"",AC102/S102))</f>
        <v/>
      </c>
      <c r="AF102" s="43" t="str">
        <f aca="false">IF(OR(K102="",G102=""),"",IF(J102=0,"",AC102/J102))</f>
        <v/>
      </c>
      <c r="AG102" s="41" t="str">
        <f aca="false">IF(OR(K102="",G102=""),"",(J102+V102)/(1-(1+Settings!$B$10)*(IF(N102="",Settings!$B$5,N102)+IF(M102="",Settings!$B$11,M102))-IF(UPPER(O102)="Y",Settings!$B$9,0)-Settings!$B$13-Settings!$B$12)-N(L102))</f>
        <v/>
      </c>
      <c r="AH102" s="41" t="str">
        <f aca="false">IF(OR(K102="",G102=""),"",(J102+V102+Settings!$B$15)/(1-(1+Settings!$B$10)*(IF(N102="",Settings!$B$5,N102)+IF(M102="",Settings!$B$11,M102))-IF(UPPER(O102)="Y",Settings!$B$9,0)-Settings!$B$13-Settings!$B$12)-N(L102))</f>
        <v/>
      </c>
      <c r="AI102" s="46" t="str">
        <f aca="false">IF(C102="","",IF(OR(ISNUMBER(SEARCH("amazon",C102)),ISNUMBER(SEARCH("walmart",C102)),ISNUMBER(SEARCH("aliexpress",C102)),ISNUMBER(SEARCH("temu",C102))),"⚠ Retail source — not allowed","✓ Wholesale / own stock"))</f>
        <v/>
      </c>
      <c r="AJ102" s="47" t="str">
        <f aca="false">IF(OR(K102="",G102=""),"",IF(LEFT(AI102,1)="⚠","❌ SKIP",IF(AND(AC102&gt;=Settings!$B$15,AF102&gt;=Settings!$B$16,OR(R102="",N(R102)&gt;=Settings!$B$17)),"✅ GO",IF(AC102&gt;0,"⚠ CHECK","❌ SKIP"))))</f>
        <v/>
      </c>
      <c r="AK102" s="38"/>
    </row>
    <row r="103" customFormat="false" ht="15" hidden="false" customHeight="false" outlineLevel="0" collapsed="false">
      <c r="A103" s="37" t="str">
        <f aca="false">IF(B103="","",ROW()-4)</f>
        <v/>
      </c>
      <c r="B103" s="38"/>
      <c r="C103" s="39"/>
      <c r="D103" s="38"/>
      <c r="E103" s="38"/>
      <c r="F103" s="38"/>
      <c r="G103" s="40"/>
      <c r="H103" s="40"/>
      <c r="I103" s="40"/>
      <c r="J103" s="41" t="str">
        <f aca="false">IF(G103="","",G103+N(H103)+N(I103))</f>
        <v/>
      </c>
      <c r="K103" s="40"/>
      <c r="L103" s="40"/>
      <c r="M103" s="42"/>
      <c r="N103" s="42"/>
      <c r="O103" s="39"/>
      <c r="P103" s="38"/>
      <c r="Q103" s="38"/>
      <c r="R103" s="43" t="str">
        <f aca="false">IF(OR(P103="",Q103=""),"",P103/(P103+Q103))</f>
        <v/>
      </c>
      <c r="S103" s="41" t="str">
        <f aca="false">IF(OR(K103="",G103=""),"",K103+N(L103))</f>
        <v/>
      </c>
      <c r="T103" s="41" t="str">
        <f aca="false">IF(OR(K103="",G103=""),"",S103*Settings!$B$10)</f>
        <v/>
      </c>
      <c r="U103" s="41" t="str">
        <f aca="false">IF(OR(K103="",G103=""),"",(S103+T103)*IF(N103="",Settings!$B$5,N103))</f>
        <v/>
      </c>
      <c r="V103" s="41" t="str">
        <f aca="false">IF(OR(K103="",G103=""),"",IF(S103+T103&lt;=Settings!$B$8,Settings!$B$6,Settings!$B$7))</f>
        <v/>
      </c>
      <c r="W103" s="41" t="str">
        <f aca="false">IF(OR(K103="",G103=""),"",S103*IF(UPPER(O103)="Y",Settings!$B$9,0))</f>
        <v/>
      </c>
      <c r="X103" s="41" t="str">
        <f aca="false">IF(OR(K103="",G103=""),"",(S103+T103)*IF(M103="",Settings!$B$11,M103))</f>
        <v/>
      </c>
      <c r="Y103" s="41" t="str">
        <f aca="false">IF(OR(K103="",G103=""),"",U103+V103+W103+X103)</f>
        <v/>
      </c>
      <c r="Z103" s="41" t="str">
        <f aca="false">IF(OR(K103="",G103=""),"",S103-Y103)</f>
        <v/>
      </c>
      <c r="AA103" s="41" t="str">
        <f aca="false">IF(OR(K103="",G103=""),"",Z103*Settings!$B$12)</f>
        <v/>
      </c>
      <c r="AB103" s="41" t="str">
        <f aca="false">IF(OR(K103="",G103=""),"",S103*Settings!$B$13)</f>
        <v/>
      </c>
      <c r="AC103" s="44" t="str">
        <f aca="false">IF(OR(K103="",G103=""),"",Z103-AA103-AB103-J103)</f>
        <v/>
      </c>
      <c r="AD103" s="45" t="str">
        <f aca="false">IF(OR(K103="",G103=""),"",AC103*Settings!$B$14)</f>
        <v/>
      </c>
      <c r="AE103" s="43" t="str">
        <f aca="false">IF(OR(K103="",G103=""),"",IF(S103=0,"",AC103/S103))</f>
        <v/>
      </c>
      <c r="AF103" s="43" t="str">
        <f aca="false">IF(OR(K103="",G103=""),"",IF(J103=0,"",AC103/J103))</f>
        <v/>
      </c>
      <c r="AG103" s="41" t="str">
        <f aca="false">IF(OR(K103="",G103=""),"",(J103+V103)/(1-(1+Settings!$B$10)*(IF(N103="",Settings!$B$5,N103)+IF(M103="",Settings!$B$11,M103))-IF(UPPER(O103)="Y",Settings!$B$9,0)-Settings!$B$13-Settings!$B$12)-N(L103))</f>
        <v/>
      </c>
      <c r="AH103" s="41" t="str">
        <f aca="false">IF(OR(K103="",G103=""),"",(J103+V103+Settings!$B$15)/(1-(1+Settings!$B$10)*(IF(N103="",Settings!$B$5,N103)+IF(M103="",Settings!$B$11,M103))-IF(UPPER(O103)="Y",Settings!$B$9,0)-Settings!$B$13-Settings!$B$12)-N(L103))</f>
        <v/>
      </c>
      <c r="AI103" s="46" t="str">
        <f aca="false">IF(C103="","",IF(OR(ISNUMBER(SEARCH("amazon",C103)),ISNUMBER(SEARCH("walmart",C103)),ISNUMBER(SEARCH("aliexpress",C103)),ISNUMBER(SEARCH("temu",C103))),"⚠ Retail source — not allowed","✓ Wholesale / own stock"))</f>
        <v/>
      </c>
      <c r="AJ103" s="47" t="str">
        <f aca="false">IF(OR(K103="",G103=""),"",IF(LEFT(AI103,1)="⚠","❌ SKIP",IF(AND(AC103&gt;=Settings!$B$15,AF103&gt;=Settings!$B$16,OR(R103="",N(R103)&gt;=Settings!$B$17)),"✅ GO",IF(AC103&gt;0,"⚠ CHECK","❌ SKIP"))))</f>
        <v/>
      </c>
      <c r="AK103" s="38"/>
    </row>
    <row r="104" customFormat="false" ht="15" hidden="false" customHeight="false" outlineLevel="0" collapsed="false">
      <c r="A104" s="37" t="str">
        <f aca="false">IF(B104="","",ROW()-4)</f>
        <v/>
      </c>
      <c r="B104" s="38"/>
      <c r="C104" s="39"/>
      <c r="D104" s="38"/>
      <c r="E104" s="38"/>
      <c r="F104" s="38"/>
      <c r="G104" s="40"/>
      <c r="H104" s="40"/>
      <c r="I104" s="40"/>
      <c r="J104" s="41" t="str">
        <f aca="false">IF(G104="","",G104+N(H104)+N(I104))</f>
        <v/>
      </c>
      <c r="K104" s="40"/>
      <c r="L104" s="40"/>
      <c r="M104" s="42"/>
      <c r="N104" s="42"/>
      <c r="O104" s="39"/>
      <c r="P104" s="38"/>
      <c r="Q104" s="38"/>
      <c r="R104" s="43" t="str">
        <f aca="false">IF(OR(P104="",Q104=""),"",P104/(P104+Q104))</f>
        <v/>
      </c>
      <c r="S104" s="41" t="str">
        <f aca="false">IF(OR(K104="",G104=""),"",K104+N(L104))</f>
        <v/>
      </c>
      <c r="T104" s="41" t="str">
        <f aca="false">IF(OR(K104="",G104=""),"",S104*Settings!$B$10)</f>
        <v/>
      </c>
      <c r="U104" s="41" t="str">
        <f aca="false">IF(OR(K104="",G104=""),"",(S104+T104)*IF(N104="",Settings!$B$5,N104))</f>
        <v/>
      </c>
      <c r="V104" s="41" t="str">
        <f aca="false">IF(OR(K104="",G104=""),"",IF(S104+T104&lt;=Settings!$B$8,Settings!$B$6,Settings!$B$7))</f>
        <v/>
      </c>
      <c r="W104" s="41" t="str">
        <f aca="false">IF(OR(K104="",G104=""),"",S104*IF(UPPER(O104)="Y",Settings!$B$9,0))</f>
        <v/>
      </c>
      <c r="X104" s="41" t="str">
        <f aca="false">IF(OR(K104="",G104=""),"",(S104+T104)*IF(M104="",Settings!$B$11,M104))</f>
        <v/>
      </c>
      <c r="Y104" s="41" t="str">
        <f aca="false">IF(OR(K104="",G104=""),"",U104+V104+W104+X104)</f>
        <v/>
      </c>
      <c r="Z104" s="41" t="str">
        <f aca="false">IF(OR(K104="",G104=""),"",S104-Y104)</f>
        <v/>
      </c>
      <c r="AA104" s="41" t="str">
        <f aca="false">IF(OR(K104="",G104=""),"",Z104*Settings!$B$12)</f>
        <v/>
      </c>
      <c r="AB104" s="41" t="str">
        <f aca="false">IF(OR(K104="",G104=""),"",S104*Settings!$B$13)</f>
        <v/>
      </c>
      <c r="AC104" s="44" t="str">
        <f aca="false">IF(OR(K104="",G104=""),"",Z104-AA104-AB104-J104)</f>
        <v/>
      </c>
      <c r="AD104" s="45" t="str">
        <f aca="false">IF(OR(K104="",G104=""),"",AC104*Settings!$B$14)</f>
        <v/>
      </c>
      <c r="AE104" s="43" t="str">
        <f aca="false">IF(OR(K104="",G104=""),"",IF(S104=0,"",AC104/S104))</f>
        <v/>
      </c>
      <c r="AF104" s="43" t="str">
        <f aca="false">IF(OR(K104="",G104=""),"",IF(J104=0,"",AC104/J104))</f>
        <v/>
      </c>
      <c r="AG104" s="41" t="str">
        <f aca="false">IF(OR(K104="",G104=""),"",(J104+V104)/(1-(1+Settings!$B$10)*(IF(N104="",Settings!$B$5,N104)+IF(M104="",Settings!$B$11,M104))-IF(UPPER(O104)="Y",Settings!$B$9,0)-Settings!$B$13-Settings!$B$12)-N(L104))</f>
        <v/>
      </c>
      <c r="AH104" s="41" t="str">
        <f aca="false">IF(OR(K104="",G104=""),"",(J104+V104+Settings!$B$15)/(1-(1+Settings!$B$10)*(IF(N104="",Settings!$B$5,N104)+IF(M104="",Settings!$B$11,M104))-IF(UPPER(O104)="Y",Settings!$B$9,0)-Settings!$B$13-Settings!$B$12)-N(L104))</f>
        <v/>
      </c>
      <c r="AI104" s="46" t="str">
        <f aca="false">IF(C104="","",IF(OR(ISNUMBER(SEARCH("amazon",C104)),ISNUMBER(SEARCH("walmart",C104)),ISNUMBER(SEARCH("aliexpress",C104)),ISNUMBER(SEARCH("temu",C104))),"⚠ Retail source — not allowed","✓ Wholesale / own stock"))</f>
        <v/>
      </c>
      <c r="AJ104" s="47" t="str">
        <f aca="false">IF(OR(K104="",G104=""),"",IF(LEFT(AI104,1)="⚠","❌ SKIP",IF(AND(AC104&gt;=Settings!$B$15,AF104&gt;=Settings!$B$16,OR(R104="",N(R104)&gt;=Settings!$B$17)),"✅ GO",IF(AC104&gt;0,"⚠ CHECK","❌ SKIP"))))</f>
        <v/>
      </c>
      <c r="AK104" s="38"/>
    </row>
    <row r="105" customFormat="false" ht="15" hidden="false" customHeight="false" outlineLevel="0" collapsed="false">
      <c r="A105" s="37" t="str">
        <f aca="false">IF(B105="","",ROW()-4)</f>
        <v/>
      </c>
      <c r="B105" s="38"/>
      <c r="C105" s="39"/>
      <c r="D105" s="38"/>
      <c r="E105" s="38"/>
      <c r="F105" s="38"/>
      <c r="G105" s="40"/>
      <c r="H105" s="40"/>
      <c r="I105" s="40"/>
      <c r="J105" s="41" t="str">
        <f aca="false">IF(G105="","",G105+N(H105)+N(I105))</f>
        <v/>
      </c>
      <c r="K105" s="40"/>
      <c r="L105" s="40"/>
      <c r="M105" s="42"/>
      <c r="N105" s="42"/>
      <c r="O105" s="39"/>
      <c r="P105" s="38"/>
      <c r="Q105" s="38"/>
      <c r="R105" s="43" t="str">
        <f aca="false">IF(OR(P105="",Q105=""),"",P105/(P105+Q105))</f>
        <v/>
      </c>
      <c r="S105" s="41" t="str">
        <f aca="false">IF(OR(K105="",G105=""),"",K105+N(L105))</f>
        <v/>
      </c>
      <c r="T105" s="41" t="str">
        <f aca="false">IF(OR(K105="",G105=""),"",S105*Settings!$B$10)</f>
        <v/>
      </c>
      <c r="U105" s="41" t="str">
        <f aca="false">IF(OR(K105="",G105=""),"",(S105+T105)*IF(N105="",Settings!$B$5,N105))</f>
        <v/>
      </c>
      <c r="V105" s="41" t="str">
        <f aca="false">IF(OR(K105="",G105=""),"",IF(S105+T105&lt;=Settings!$B$8,Settings!$B$6,Settings!$B$7))</f>
        <v/>
      </c>
      <c r="W105" s="41" t="str">
        <f aca="false">IF(OR(K105="",G105=""),"",S105*IF(UPPER(O105)="Y",Settings!$B$9,0))</f>
        <v/>
      </c>
      <c r="X105" s="41" t="str">
        <f aca="false">IF(OR(K105="",G105=""),"",(S105+T105)*IF(M105="",Settings!$B$11,M105))</f>
        <v/>
      </c>
      <c r="Y105" s="41" t="str">
        <f aca="false">IF(OR(K105="",G105=""),"",U105+V105+W105+X105)</f>
        <v/>
      </c>
      <c r="Z105" s="41" t="str">
        <f aca="false">IF(OR(K105="",G105=""),"",S105-Y105)</f>
        <v/>
      </c>
      <c r="AA105" s="41" t="str">
        <f aca="false">IF(OR(K105="",G105=""),"",Z105*Settings!$B$12)</f>
        <v/>
      </c>
      <c r="AB105" s="41" t="str">
        <f aca="false">IF(OR(K105="",G105=""),"",S105*Settings!$B$13)</f>
        <v/>
      </c>
      <c r="AC105" s="44" t="str">
        <f aca="false">IF(OR(K105="",G105=""),"",Z105-AA105-AB105-J105)</f>
        <v/>
      </c>
      <c r="AD105" s="45" t="str">
        <f aca="false">IF(OR(K105="",G105=""),"",AC105*Settings!$B$14)</f>
        <v/>
      </c>
      <c r="AE105" s="43" t="str">
        <f aca="false">IF(OR(K105="",G105=""),"",IF(S105=0,"",AC105/S105))</f>
        <v/>
      </c>
      <c r="AF105" s="43" t="str">
        <f aca="false">IF(OR(K105="",G105=""),"",IF(J105=0,"",AC105/J105))</f>
        <v/>
      </c>
      <c r="AG105" s="41" t="str">
        <f aca="false">IF(OR(K105="",G105=""),"",(J105+V105)/(1-(1+Settings!$B$10)*(IF(N105="",Settings!$B$5,N105)+IF(M105="",Settings!$B$11,M105))-IF(UPPER(O105)="Y",Settings!$B$9,0)-Settings!$B$13-Settings!$B$12)-N(L105))</f>
        <v/>
      </c>
      <c r="AH105" s="41" t="str">
        <f aca="false">IF(OR(K105="",G105=""),"",(J105+V105+Settings!$B$15)/(1-(1+Settings!$B$10)*(IF(N105="",Settings!$B$5,N105)+IF(M105="",Settings!$B$11,M105))-IF(UPPER(O105)="Y",Settings!$B$9,0)-Settings!$B$13-Settings!$B$12)-N(L105))</f>
        <v/>
      </c>
      <c r="AI105" s="46" t="str">
        <f aca="false">IF(C105="","",IF(OR(ISNUMBER(SEARCH("amazon",C105)),ISNUMBER(SEARCH("walmart",C105)),ISNUMBER(SEARCH("aliexpress",C105)),ISNUMBER(SEARCH("temu",C105))),"⚠ Retail source — not allowed","✓ Wholesale / own stock"))</f>
        <v/>
      </c>
      <c r="AJ105" s="47" t="str">
        <f aca="false">IF(OR(K105="",G105=""),"",IF(LEFT(AI105,1)="⚠","❌ SKIP",IF(AND(AC105&gt;=Settings!$B$15,AF105&gt;=Settings!$B$16,OR(R105="",N(R105)&gt;=Settings!$B$17)),"✅ GO",IF(AC105&gt;0,"⚠ CHECK","❌ SKIP"))))</f>
        <v/>
      </c>
      <c r="AK105" s="38"/>
    </row>
    <row r="106" customFormat="false" ht="15" hidden="false" customHeight="false" outlineLevel="0" collapsed="false">
      <c r="A106" s="37" t="str">
        <f aca="false">IF(B106="","",ROW()-4)</f>
        <v/>
      </c>
      <c r="B106" s="38"/>
      <c r="C106" s="39"/>
      <c r="D106" s="38"/>
      <c r="E106" s="38"/>
      <c r="F106" s="38"/>
      <c r="G106" s="40"/>
      <c r="H106" s="40"/>
      <c r="I106" s="40"/>
      <c r="J106" s="41" t="str">
        <f aca="false">IF(G106="","",G106+N(H106)+N(I106))</f>
        <v/>
      </c>
      <c r="K106" s="40"/>
      <c r="L106" s="40"/>
      <c r="M106" s="42"/>
      <c r="N106" s="42"/>
      <c r="O106" s="39"/>
      <c r="P106" s="38"/>
      <c r="Q106" s="38"/>
      <c r="R106" s="43" t="str">
        <f aca="false">IF(OR(P106="",Q106=""),"",P106/(P106+Q106))</f>
        <v/>
      </c>
      <c r="S106" s="41" t="str">
        <f aca="false">IF(OR(K106="",G106=""),"",K106+N(L106))</f>
        <v/>
      </c>
      <c r="T106" s="41" t="str">
        <f aca="false">IF(OR(K106="",G106=""),"",S106*Settings!$B$10)</f>
        <v/>
      </c>
      <c r="U106" s="41" t="str">
        <f aca="false">IF(OR(K106="",G106=""),"",(S106+T106)*IF(N106="",Settings!$B$5,N106))</f>
        <v/>
      </c>
      <c r="V106" s="41" t="str">
        <f aca="false">IF(OR(K106="",G106=""),"",IF(S106+T106&lt;=Settings!$B$8,Settings!$B$6,Settings!$B$7))</f>
        <v/>
      </c>
      <c r="W106" s="41" t="str">
        <f aca="false">IF(OR(K106="",G106=""),"",S106*IF(UPPER(O106)="Y",Settings!$B$9,0))</f>
        <v/>
      </c>
      <c r="X106" s="41" t="str">
        <f aca="false">IF(OR(K106="",G106=""),"",(S106+T106)*IF(M106="",Settings!$B$11,M106))</f>
        <v/>
      </c>
      <c r="Y106" s="41" t="str">
        <f aca="false">IF(OR(K106="",G106=""),"",U106+V106+W106+X106)</f>
        <v/>
      </c>
      <c r="Z106" s="41" t="str">
        <f aca="false">IF(OR(K106="",G106=""),"",S106-Y106)</f>
        <v/>
      </c>
      <c r="AA106" s="41" t="str">
        <f aca="false">IF(OR(K106="",G106=""),"",Z106*Settings!$B$12)</f>
        <v/>
      </c>
      <c r="AB106" s="41" t="str">
        <f aca="false">IF(OR(K106="",G106=""),"",S106*Settings!$B$13)</f>
        <v/>
      </c>
      <c r="AC106" s="44" t="str">
        <f aca="false">IF(OR(K106="",G106=""),"",Z106-AA106-AB106-J106)</f>
        <v/>
      </c>
      <c r="AD106" s="45" t="str">
        <f aca="false">IF(OR(K106="",G106=""),"",AC106*Settings!$B$14)</f>
        <v/>
      </c>
      <c r="AE106" s="43" t="str">
        <f aca="false">IF(OR(K106="",G106=""),"",IF(S106=0,"",AC106/S106))</f>
        <v/>
      </c>
      <c r="AF106" s="43" t="str">
        <f aca="false">IF(OR(K106="",G106=""),"",IF(J106=0,"",AC106/J106))</f>
        <v/>
      </c>
      <c r="AG106" s="41" t="str">
        <f aca="false">IF(OR(K106="",G106=""),"",(J106+V106)/(1-(1+Settings!$B$10)*(IF(N106="",Settings!$B$5,N106)+IF(M106="",Settings!$B$11,M106))-IF(UPPER(O106)="Y",Settings!$B$9,0)-Settings!$B$13-Settings!$B$12)-N(L106))</f>
        <v/>
      </c>
      <c r="AH106" s="41" t="str">
        <f aca="false">IF(OR(K106="",G106=""),"",(J106+V106+Settings!$B$15)/(1-(1+Settings!$B$10)*(IF(N106="",Settings!$B$5,N106)+IF(M106="",Settings!$B$11,M106))-IF(UPPER(O106)="Y",Settings!$B$9,0)-Settings!$B$13-Settings!$B$12)-N(L106))</f>
        <v/>
      </c>
      <c r="AI106" s="46" t="str">
        <f aca="false">IF(C106="","",IF(OR(ISNUMBER(SEARCH("amazon",C106)),ISNUMBER(SEARCH("walmart",C106)),ISNUMBER(SEARCH("aliexpress",C106)),ISNUMBER(SEARCH("temu",C106))),"⚠ Retail source — not allowed","✓ Wholesale / own stock"))</f>
        <v/>
      </c>
      <c r="AJ106" s="47" t="str">
        <f aca="false">IF(OR(K106="",G106=""),"",IF(LEFT(AI106,1)="⚠","❌ SKIP",IF(AND(AC106&gt;=Settings!$B$15,AF106&gt;=Settings!$B$16,OR(R106="",N(R106)&gt;=Settings!$B$17)),"✅ GO",IF(AC106&gt;0,"⚠ CHECK","❌ SKIP"))))</f>
        <v/>
      </c>
      <c r="AK106" s="38"/>
    </row>
    <row r="107" customFormat="false" ht="15" hidden="false" customHeight="false" outlineLevel="0" collapsed="false">
      <c r="A107" s="37" t="str">
        <f aca="false">IF(B107="","",ROW()-4)</f>
        <v/>
      </c>
      <c r="B107" s="38"/>
      <c r="C107" s="39"/>
      <c r="D107" s="38"/>
      <c r="E107" s="38"/>
      <c r="F107" s="38"/>
      <c r="G107" s="40"/>
      <c r="H107" s="40"/>
      <c r="I107" s="40"/>
      <c r="J107" s="41" t="str">
        <f aca="false">IF(G107="","",G107+N(H107)+N(I107))</f>
        <v/>
      </c>
      <c r="K107" s="40"/>
      <c r="L107" s="40"/>
      <c r="M107" s="42"/>
      <c r="N107" s="42"/>
      <c r="O107" s="39"/>
      <c r="P107" s="38"/>
      <c r="Q107" s="38"/>
      <c r="R107" s="43" t="str">
        <f aca="false">IF(OR(P107="",Q107=""),"",P107/(P107+Q107))</f>
        <v/>
      </c>
      <c r="S107" s="41" t="str">
        <f aca="false">IF(OR(K107="",G107=""),"",K107+N(L107))</f>
        <v/>
      </c>
      <c r="T107" s="41" t="str">
        <f aca="false">IF(OR(K107="",G107=""),"",S107*Settings!$B$10)</f>
        <v/>
      </c>
      <c r="U107" s="41" t="str">
        <f aca="false">IF(OR(K107="",G107=""),"",(S107+T107)*IF(N107="",Settings!$B$5,N107))</f>
        <v/>
      </c>
      <c r="V107" s="41" t="str">
        <f aca="false">IF(OR(K107="",G107=""),"",IF(S107+T107&lt;=Settings!$B$8,Settings!$B$6,Settings!$B$7))</f>
        <v/>
      </c>
      <c r="W107" s="41" t="str">
        <f aca="false">IF(OR(K107="",G107=""),"",S107*IF(UPPER(O107)="Y",Settings!$B$9,0))</f>
        <v/>
      </c>
      <c r="X107" s="41" t="str">
        <f aca="false">IF(OR(K107="",G107=""),"",(S107+T107)*IF(M107="",Settings!$B$11,M107))</f>
        <v/>
      </c>
      <c r="Y107" s="41" t="str">
        <f aca="false">IF(OR(K107="",G107=""),"",U107+V107+W107+X107)</f>
        <v/>
      </c>
      <c r="Z107" s="41" t="str">
        <f aca="false">IF(OR(K107="",G107=""),"",S107-Y107)</f>
        <v/>
      </c>
      <c r="AA107" s="41" t="str">
        <f aca="false">IF(OR(K107="",G107=""),"",Z107*Settings!$B$12)</f>
        <v/>
      </c>
      <c r="AB107" s="41" t="str">
        <f aca="false">IF(OR(K107="",G107=""),"",S107*Settings!$B$13)</f>
        <v/>
      </c>
      <c r="AC107" s="44" t="str">
        <f aca="false">IF(OR(K107="",G107=""),"",Z107-AA107-AB107-J107)</f>
        <v/>
      </c>
      <c r="AD107" s="45" t="str">
        <f aca="false">IF(OR(K107="",G107=""),"",AC107*Settings!$B$14)</f>
        <v/>
      </c>
      <c r="AE107" s="43" t="str">
        <f aca="false">IF(OR(K107="",G107=""),"",IF(S107=0,"",AC107/S107))</f>
        <v/>
      </c>
      <c r="AF107" s="43" t="str">
        <f aca="false">IF(OR(K107="",G107=""),"",IF(J107=0,"",AC107/J107))</f>
        <v/>
      </c>
      <c r="AG107" s="41" t="str">
        <f aca="false">IF(OR(K107="",G107=""),"",(J107+V107)/(1-(1+Settings!$B$10)*(IF(N107="",Settings!$B$5,N107)+IF(M107="",Settings!$B$11,M107))-IF(UPPER(O107)="Y",Settings!$B$9,0)-Settings!$B$13-Settings!$B$12)-N(L107))</f>
        <v/>
      </c>
      <c r="AH107" s="41" t="str">
        <f aca="false">IF(OR(K107="",G107=""),"",(J107+V107+Settings!$B$15)/(1-(1+Settings!$B$10)*(IF(N107="",Settings!$B$5,N107)+IF(M107="",Settings!$B$11,M107))-IF(UPPER(O107)="Y",Settings!$B$9,0)-Settings!$B$13-Settings!$B$12)-N(L107))</f>
        <v/>
      </c>
      <c r="AI107" s="46" t="str">
        <f aca="false">IF(C107="","",IF(OR(ISNUMBER(SEARCH("amazon",C107)),ISNUMBER(SEARCH("walmart",C107)),ISNUMBER(SEARCH("aliexpress",C107)),ISNUMBER(SEARCH("temu",C107))),"⚠ Retail source — not allowed","✓ Wholesale / own stock"))</f>
        <v/>
      </c>
      <c r="AJ107" s="47" t="str">
        <f aca="false">IF(OR(K107="",G107=""),"",IF(LEFT(AI107,1)="⚠","❌ SKIP",IF(AND(AC107&gt;=Settings!$B$15,AF107&gt;=Settings!$B$16,OR(R107="",N(R107)&gt;=Settings!$B$17)),"✅ GO",IF(AC107&gt;0,"⚠ CHECK","❌ SKIP"))))</f>
        <v/>
      </c>
      <c r="AK107" s="38"/>
    </row>
    <row r="108" customFormat="false" ht="15" hidden="false" customHeight="false" outlineLevel="0" collapsed="false">
      <c r="A108" s="37" t="str">
        <f aca="false">IF(B108="","",ROW()-4)</f>
        <v/>
      </c>
      <c r="B108" s="38"/>
      <c r="C108" s="39"/>
      <c r="D108" s="38"/>
      <c r="E108" s="38"/>
      <c r="F108" s="38"/>
      <c r="G108" s="40"/>
      <c r="H108" s="40"/>
      <c r="I108" s="40"/>
      <c r="J108" s="41" t="str">
        <f aca="false">IF(G108="","",G108+N(H108)+N(I108))</f>
        <v/>
      </c>
      <c r="K108" s="40"/>
      <c r="L108" s="40"/>
      <c r="M108" s="42"/>
      <c r="N108" s="42"/>
      <c r="O108" s="39"/>
      <c r="P108" s="38"/>
      <c r="Q108" s="38"/>
      <c r="R108" s="43" t="str">
        <f aca="false">IF(OR(P108="",Q108=""),"",P108/(P108+Q108))</f>
        <v/>
      </c>
      <c r="S108" s="41" t="str">
        <f aca="false">IF(OR(K108="",G108=""),"",K108+N(L108))</f>
        <v/>
      </c>
      <c r="T108" s="41" t="str">
        <f aca="false">IF(OR(K108="",G108=""),"",S108*Settings!$B$10)</f>
        <v/>
      </c>
      <c r="U108" s="41" t="str">
        <f aca="false">IF(OR(K108="",G108=""),"",(S108+T108)*IF(N108="",Settings!$B$5,N108))</f>
        <v/>
      </c>
      <c r="V108" s="41" t="str">
        <f aca="false">IF(OR(K108="",G108=""),"",IF(S108+T108&lt;=Settings!$B$8,Settings!$B$6,Settings!$B$7))</f>
        <v/>
      </c>
      <c r="W108" s="41" t="str">
        <f aca="false">IF(OR(K108="",G108=""),"",S108*IF(UPPER(O108)="Y",Settings!$B$9,0))</f>
        <v/>
      </c>
      <c r="X108" s="41" t="str">
        <f aca="false">IF(OR(K108="",G108=""),"",(S108+T108)*IF(M108="",Settings!$B$11,M108))</f>
        <v/>
      </c>
      <c r="Y108" s="41" t="str">
        <f aca="false">IF(OR(K108="",G108=""),"",U108+V108+W108+X108)</f>
        <v/>
      </c>
      <c r="Z108" s="41" t="str">
        <f aca="false">IF(OR(K108="",G108=""),"",S108-Y108)</f>
        <v/>
      </c>
      <c r="AA108" s="41" t="str">
        <f aca="false">IF(OR(K108="",G108=""),"",Z108*Settings!$B$12)</f>
        <v/>
      </c>
      <c r="AB108" s="41" t="str">
        <f aca="false">IF(OR(K108="",G108=""),"",S108*Settings!$B$13)</f>
        <v/>
      </c>
      <c r="AC108" s="44" t="str">
        <f aca="false">IF(OR(K108="",G108=""),"",Z108-AA108-AB108-J108)</f>
        <v/>
      </c>
      <c r="AD108" s="45" t="str">
        <f aca="false">IF(OR(K108="",G108=""),"",AC108*Settings!$B$14)</f>
        <v/>
      </c>
      <c r="AE108" s="43" t="str">
        <f aca="false">IF(OR(K108="",G108=""),"",IF(S108=0,"",AC108/S108))</f>
        <v/>
      </c>
      <c r="AF108" s="43" t="str">
        <f aca="false">IF(OR(K108="",G108=""),"",IF(J108=0,"",AC108/J108))</f>
        <v/>
      </c>
      <c r="AG108" s="41" t="str">
        <f aca="false">IF(OR(K108="",G108=""),"",(J108+V108)/(1-(1+Settings!$B$10)*(IF(N108="",Settings!$B$5,N108)+IF(M108="",Settings!$B$11,M108))-IF(UPPER(O108)="Y",Settings!$B$9,0)-Settings!$B$13-Settings!$B$12)-N(L108))</f>
        <v/>
      </c>
      <c r="AH108" s="41" t="str">
        <f aca="false">IF(OR(K108="",G108=""),"",(J108+V108+Settings!$B$15)/(1-(1+Settings!$B$10)*(IF(N108="",Settings!$B$5,N108)+IF(M108="",Settings!$B$11,M108))-IF(UPPER(O108)="Y",Settings!$B$9,0)-Settings!$B$13-Settings!$B$12)-N(L108))</f>
        <v/>
      </c>
      <c r="AI108" s="46" t="str">
        <f aca="false">IF(C108="","",IF(OR(ISNUMBER(SEARCH("amazon",C108)),ISNUMBER(SEARCH("walmart",C108)),ISNUMBER(SEARCH("aliexpress",C108)),ISNUMBER(SEARCH("temu",C108))),"⚠ Retail source — not allowed","✓ Wholesale / own stock"))</f>
        <v/>
      </c>
      <c r="AJ108" s="47" t="str">
        <f aca="false">IF(OR(K108="",G108=""),"",IF(LEFT(AI108,1)="⚠","❌ SKIP",IF(AND(AC108&gt;=Settings!$B$15,AF108&gt;=Settings!$B$16,OR(R108="",N(R108)&gt;=Settings!$B$17)),"✅ GO",IF(AC108&gt;0,"⚠ CHECK","❌ SKIP"))))</f>
        <v/>
      </c>
      <c r="AK108" s="38"/>
    </row>
    <row r="109" customFormat="false" ht="15" hidden="false" customHeight="false" outlineLevel="0" collapsed="false">
      <c r="A109" s="37" t="str">
        <f aca="false">IF(B109="","",ROW()-4)</f>
        <v/>
      </c>
      <c r="B109" s="38"/>
      <c r="C109" s="39"/>
      <c r="D109" s="38"/>
      <c r="E109" s="38"/>
      <c r="F109" s="38"/>
      <c r="G109" s="40"/>
      <c r="H109" s="40"/>
      <c r="I109" s="40"/>
      <c r="J109" s="41" t="str">
        <f aca="false">IF(G109="","",G109+N(H109)+N(I109))</f>
        <v/>
      </c>
      <c r="K109" s="40"/>
      <c r="L109" s="40"/>
      <c r="M109" s="42"/>
      <c r="N109" s="42"/>
      <c r="O109" s="39"/>
      <c r="P109" s="38"/>
      <c r="Q109" s="38"/>
      <c r="R109" s="43" t="str">
        <f aca="false">IF(OR(P109="",Q109=""),"",P109/(P109+Q109))</f>
        <v/>
      </c>
      <c r="S109" s="41" t="str">
        <f aca="false">IF(OR(K109="",G109=""),"",K109+N(L109))</f>
        <v/>
      </c>
      <c r="T109" s="41" t="str">
        <f aca="false">IF(OR(K109="",G109=""),"",S109*Settings!$B$10)</f>
        <v/>
      </c>
      <c r="U109" s="41" t="str">
        <f aca="false">IF(OR(K109="",G109=""),"",(S109+T109)*IF(N109="",Settings!$B$5,N109))</f>
        <v/>
      </c>
      <c r="V109" s="41" t="str">
        <f aca="false">IF(OR(K109="",G109=""),"",IF(S109+T109&lt;=Settings!$B$8,Settings!$B$6,Settings!$B$7))</f>
        <v/>
      </c>
      <c r="W109" s="41" t="str">
        <f aca="false">IF(OR(K109="",G109=""),"",S109*IF(UPPER(O109)="Y",Settings!$B$9,0))</f>
        <v/>
      </c>
      <c r="X109" s="41" t="str">
        <f aca="false">IF(OR(K109="",G109=""),"",(S109+T109)*IF(M109="",Settings!$B$11,M109))</f>
        <v/>
      </c>
      <c r="Y109" s="41" t="str">
        <f aca="false">IF(OR(K109="",G109=""),"",U109+V109+W109+X109)</f>
        <v/>
      </c>
      <c r="Z109" s="41" t="str">
        <f aca="false">IF(OR(K109="",G109=""),"",S109-Y109)</f>
        <v/>
      </c>
      <c r="AA109" s="41" t="str">
        <f aca="false">IF(OR(K109="",G109=""),"",Z109*Settings!$B$12)</f>
        <v/>
      </c>
      <c r="AB109" s="41" t="str">
        <f aca="false">IF(OR(K109="",G109=""),"",S109*Settings!$B$13)</f>
        <v/>
      </c>
      <c r="AC109" s="44" t="str">
        <f aca="false">IF(OR(K109="",G109=""),"",Z109-AA109-AB109-J109)</f>
        <v/>
      </c>
      <c r="AD109" s="45" t="str">
        <f aca="false">IF(OR(K109="",G109=""),"",AC109*Settings!$B$14)</f>
        <v/>
      </c>
      <c r="AE109" s="43" t="str">
        <f aca="false">IF(OR(K109="",G109=""),"",IF(S109=0,"",AC109/S109))</f>
        <v/>
      </c>
      <c r="AF109" s="43" t="str">
        <f aca="false">IF(OR(K109="",G109=""),"",IF(J109=0,"",AC109/J109))</f>
        <v/>
      </c>
      <c r="AG109" s="41" t="str">
        <f aca="false">IF(OR(K109="",G109=""),"",(J109+V109)/(1-(1+Settings!$B$10)*(IF(N109="",Settings!$B$5,N109)+IF(M109="",Settings!$B$11,M109))-IF(UPPER(O109)="Y",Settings!$B$9,0)-Settings!$B$13-Settings!$B$12)-N(L109))</f>
        <v/>
      </c>
      <c r="AH109" s="41" t="str">
        <f aca="false">IF(OR(K109="",G109=""),"",(J109+V109+Settings!$B$15)/(1-(1+Settings!$B$10)*(IF(N109="",Settings!$B$5,N109)+IF(M109="",Settings!$B$11,M109))-IF(UPPER(O109)="Y",Settings!$B$9,0)-Settings!$B$13-Settings!$B$12)-N(L109))</f>
        <v/>
      </c>
      <c r="AI109" s="46" t="str">
        <f aca="false">IF(C109="","",IF(OR(ISNUMBER(SEARCH("amazon",C109)),ISNUMBER(SEARCH("walmart",C109)),ISNUMBER(SEARCH("aliexpress",C109)),ISNUMBER(SEARCH("temu",C109))),"⚠ Retail source — not allowed","✓ Wholesale / own stock"))</f>
        <v/>
      </c>
      <c r="AJ109" s="47" t="str">
        <f aca="false">IF(OR(K109="",G109=""),"",IF(LEFT(AI109,1)="⚠","❌ SKIP",IF(AND(AC109&gt;=Settings!$B$15,AF109&gt;=Settings!$B$16,OR(R109="",N(R109)&gt;=Settings!$B$17)),"✅ GO",IF(AC109&gt;0,"⚠ CHECK","❌ SKIP"))))</f>
        <v/>
      </c>
      <c r="AK109" s="38"/>
    </row>
    <row r="110" customFormat="false" ht="15" hidden="false" customHeight="false" outlineLevel="0" collapsed="false">
      <c r="A110" s="37" t="str">
        <f aca="false">IF(B110="","",ROW()-4)</f>
        <v/>
      </c>
      <c r="B110" s="38"/>
      <c r="C110" s="39"/>
      <c r="D110" s="38"/>
      <c r="E110" s="38"/>
      <c r="F110" s="38"/>
      <c r="G110" s="40"/>
      <c r="H110" s="40"/>
      <c r="I110" s="40"/>
      <c r="J110" s="41" t="str">
        <f aca="false">IF(G110="","",G110+N(H110)+N(I110))</f>
        <v/>
      </c>
      <c r="K110" s="40"/>
      <c r="L110" s="40"/>
      <c r="M110" s="42"/>
      <c r="N110" s="42"/>
      <c r="O110" s="39"/>
      <c r="P110" s="38"/>
      <c r="Q110" s="38"/>
      <c r="R110" s="43" t="str">
        <f aca="false">IF(OR(P110="",Q110=""),"",P110/(P110+Q110))</f>
        <v/>
      </c>
      <c r="S110" s="41" t="str">
        <f aca="false">IF(OR(K110="",G110=""),"",K110+N(L110))</f>
        <v/>
      </c>
      <c r="T110" s="41" t="str">
        <f aca="false">IF(OR(K110="",G110=""),"",S110*Settings!$B$10)</f>
        <v/>
      </c>
      <c r="U110" s="41" t="str">
        <f aca="false">IF(OR(K110="",G110=""),"",(S110+T110)*IF(N110="",Settings!$B$5,N110))</f>
        <v/>
      </c>
      <c r="V110" s="41" t="str">
        <f aca="false">IF(OR(K110="",G110=""),"",IF(S110+T110&lt;=Settings!$B$8,Settings!$B$6,Settings!$B$7))</f>
        <v/>
      </c>
      <c r="W110" s="41" t="str">
        <f aca="false">IF(OR(K110="",G110=""),"",S110*IF(UPPER(O110)="Y",Settings!$B$9,0))</f>
        <v/>
      </c>
      <c r="X110" s="41" t="str">
        <f aca="false">IF(OR(K110="",G110=""),"",(S110+T110)*IF(M110="",Settings!$B$11,M110))</f>
        <v/>
      </c>
      <c r="Y110" s="41" t="str">
        <f aca="false">IF(OR(K110="",G110=""),"",U110+V110+W110+X110)</f>
        <v/>
      </c>
      <c r="Z110" s="41" t="str">
        <f aca="false">IF(OR(K110="",G110=""),"",S110-Y110)</f>
        <v/>
      </c>
      <c r="AA110" s="41" t="str">
        <f aca="false">IF(OR(K110="",G110=""),"",Z110*Settings!$B$12)</f>
        <v/>
      </c>
      <c r="AB110" s="41" t="str">
        <f aca="false">IF(OR(K110="",G110=""),"",S110*Settings!$B$13)</f>
        <v/>
      </c>
      <c r="AC110" s="44" t="str">
        <f aca="false">IF(OR(K110="",G110=""),"",Z110-AA110-AB110-J110)</f>
        <v/>
      </c>
      <c r="AD110" s="45" t="str">
        <f aca="false">IF(OR(K110="",G110=""),"",AC110*Settings!$B$14)</f>
        <v/>
      </c>
      <c r="AE110" s="43" t="str">
        <f aca="false">IF(OR(K110="",G110=""),"",IF(S110=0,"",AC110/S110))</f>
        <v/>
      </c>
      <c r="AF110" s="43" t="str">
        <f aca="false">IF(OR(K110="",G110=""),"",IF(J110=0,"",AC110/J110))</f>
        <v/>
      </c>
      <c r="AG110" s="41" t="str">
        <f aca="false">IF(OR(K110="",G110=""),"",(J110+V110)/(1-(1+Settings!$B$10)*(IF(N110="",Settings!$B$5,N110)+IF(M110="",Settings!$B$11,M110))-IF(UPPER(O110)="Y",Settings!$B$9,0)-Settings!$B$13-Settings!$B$12)-N(L110))</f>
        <v/>
      </c>
      <c r="AH110" s="41" t="str">
        <f aca="false">IF(OR(K110="",G110=""),"",(J110+V110+Settings!$B$15)/(1-(1+Settings!$B$10)*(IF(N110="",Settings!$B$5,N110)+IF(M110="",Settings!$B$11,M110))-IF(UPPER(O110)="Y",Settings!$B$9,0)-Settings!$B$13-Settings!$B$12)-N(L110))</f>
        <v/>
      </c>
      <c r="AI110" s="46" t="str">
        <f aca="false">IF(C110="","",IF(OR(ISNUMBER(SEARCH("amazon",C110)),ISNUMBER(SEARCH("walmart",C110)),ISNUMBER(SEARCH("aliexpress",C110)),ISNUMBER(SEARCH("temu",C110))),"⚠ Retail source — not allowed","✓ Wholesale / own stock"))</f>
        <v/>
      </c>
      <c r="AJ110" s="47" t="str">
        <f aca="false">IF(OR(K110="",G110=""),"",IF(LEFT(AI110,1)="⚠","❌ SKIP",IF(AND(AC110&gt;=Settings!$B$15,AF110&gt;=Settings!$B$16,OR(R110="",N(R110)&gt;=Settings!$B$17)),"✅ GO",IF(AC110&gt;0,"⚠ CHECK","❌ SKIP"))))</f>
        <v/>
      </c>
      <c r="AK110" s="38"/>
    </row>
    <row r="111" customFormat="false" ht="15" hidden="false" customHeight="false" outlineLevel="0" collapsed="false">
      <c r="A111" s="37" t="str">
        <f aca="false">IF(B111="","",ROW()-4)</f>
        <v/>
      </c>
      <c r="B111" s="38"/>
      <c r="C111" s="39"/>
      <c r="D111" s="38"/>
      <c r="E111" s="38"/>
      <c r="F111" s="38"/>
      <c r="G111" s="40"/>
      <c r="H111" s="40"/>
      <c r="I111" s="40"/>
      <c r="J111" s="41" t="str">
        <f aca="false">IF(G111="","",G111+N(H111)+N(I111))</f>
        <v/>
      </c>
      <c r="K111" s="40"/>
      <c r="L111" s="40"/>
      <c r="M111" s="42"/>
      <c r="N111" s="42"/>
      <c r="O111" s="39"/>
      <c r="P111" s="38"/>
      <c r="Q111" s="38"/>
      <c r="R111" s="43" t="str">
        <f aca="false">IF(OR(P111="",Q111=""),"",P111/(P111+Q111))</f>
        <v/>
      </c>
      <c r="S111" s="41" t="str">
        <f aca="false">IF(OR(K111="",G111=""),"",K111+N(L111))</f>
        <v/>
      </c>
      <c r="T111" s="41" t="str">
        <f aca="false">IF(OR(K111="",G111=""),"",S111*Settings!$B$10)</f>
        <v/>
      </c>
      <c r="U111" s="41" t="str">
        <f aca="false">IF(OR(K111="",G111=""),"",(S111+T111)*IF(N111="",Settings!$B$5,N111))</f>
        <v/>
      </c>
      <c r="V111" s="41" t="str">
        <f aca="false">IF(OR(K111="",G111=""),"",IF(S111+T111&lt;=Settings!$B$8,Settings!$B$6,Settings!$B$7))</f>
        <v/>
      </c>
      <c r="W111" s="41" t="str">
        <f aca="false">IF(OR(K111="",G111=""),"",S111*IF(UPPER(O111)="Y",Settings!$B$9,0))</f>
        <v/>
      </c>
      <c r="X111" s="41" t="str">
        <f aca="false">IF(OR(K111="",G111=""),"",(S111+T111)*IF(M111="",Settings!$B$11,M111))</f>
        <v/>
      </c>
      <c r="Y111" s="41" t="str">
        <f aca="false">IF(OR(K111="",G111=""),"",U111+V111+W111+X111)</f>
        <v/>
      </c>
      <c r="Z111" s="41" t="str">
        <f aca="false">IF(OR(K111="",G111=""),"",S111-Y111)</f>
        <v/>
      </c>
      <c r="AA111" s="41" t="str">
        <f aca="false">IF(OR(K111="",G111=""),"",Z111*Settings!$B$12)</f>
        <v/>
      </c>
      <c r="AB111" s="41" t="str">
        <f aca="false">IF(OR(K111="",G111=""),"",S111*Settings!$B$13)</f>
        <v/>
      </c>
      <c r="AC111" s="44" t="str">
        <f aca="false">IF(OR(K111="",G111=""),"",Z111-AA111-AB111-J111)</f>
        <v/>
      </c>
      <c r="AD111" s="45" t="str">
        <f aca="false">IF(OR(K111="",G111=""),"",AC111*Settings!$B$14)</f>
        <v/>
      </c>
      <c r="AE111" s="43" t="str">
        <f aca="false">IF(OR(K111="",G111=""),"",IF(S111=0,"",AC111/S111))</f>
        <v/>
      </c>
      <c r="AF111" s="43" t="str">
        <f aca="false">IF(OR(K111="",G111=""),"",IF(J111=0,"",AC111/J111))</f>
        <v/>
      </c>
      <c r="AG111" s="41" t="str">
        <f aca="false">IF(OR(K111="",G111=""),"",(J111+V111)/(1-(1+Settings!$B$10)*(IF(N111="",Settings!$B$5,N111)+IF(M111="",Settings!$B$11,M111))-IF(UPPER(O111)="Y",Settings!$B$9,0)-Settings!$B$13-Settings!$B$12)-N(L111))</f>
        <v/>
      </c>
      <c r="AH111" s="41" t="str">
        <f aca="false">IF(OR(K111="",G111=""),"",(J111+V111+Settings!$B$15)/(1-(1+Settings!$B$10)*(IF(N111="",Settings!$B$5,N111)+IF(M111="",Settings!$B$11,M111))-IF(UPPER(O111)="Y",Settings!$B$9,0)-Settings!$B$13-Settings!$B$12)-N(L111))</f>
        <v/>
      </c>
      <c r="AI111" s="46" t="str">
        <f aca="false">IF(C111="","",IF(OR(ISNUMBER(SEARCH("amazon",C111)),ISNUMBER(SEARCH("walmart",C111)),ISNUMBER(SEARCH("aliexpress",C111)),ISNUMBER(SEARCH("temu",C111))),"⚠ Retail source — not allowed","✓ Wholesale / own stock"))</f>
        <v/>
      </c>
      <c r="AJ111" s="47" t="str">
        <f aca="false">IF(OR(K111="",G111=""),"",IF(LEFT(AI111,1)="⚠","❌ SKIP",IF(AND(AC111&gt;=Settings!$B$15,AF111&gt;=Settings!$B$16,OR(R111="",N(R111)&gt;=Settings!$B$17)),"✅ GO",IF(AC111&gt;0,"⚠ CHECK","❌ SKIP"))))</f>
        <v/>
      </c>
      <c r="AK111" s="38"/>
    </row>
    <row r="112" customFormat="false" ht="15" hidden="false" customHeight="false" outlineLevel="0" collapsed="false">
      <c r="A112" s="37" t="str">
        <f aca="false">IF(B112="","",ROW()-4)</f>
        <v/>
      </c>
      <c r="B112" s="38"/>
      <c r="C112" s="39"/>
      <c r="D112" s="38"/>
      <c r="E112" s="38"/>
      <c r="F112" s="38"/>
      <c r="G112" s="40"/>
      <c r="H112" s="40"/>
      <c r="I112" s="40"/>
      <c r="J112" s="41" t="str">
        <f aca="false">IF(G112="","",G112+N(H112)+N(I112))</f>
        <v/>
      </c>
      <c r="K112" s="40"/>
      <c r="L112" s="40"/>
      <c r="M112" s="42"/>
      <c r="N112" s="42"/>
      <c r="O112" s="39"/>
      <c r="P112" s="38"/>
      <c r="Q112" s="38"/>
      <c r="R112" s="43" t="str">
        <f aca="false">IF(OR(P112="",Q112=""),"",P112/(P112+Q112))</f>
        <v/>
      </c>
      <c r="S112" s="41" t="str">
        <f aca="false">IF(OR(K112="",G112=""),"",K112+N(L112))</f>
        <v/>
      </c>
      <c r="T112" s="41" t="str">
        <f aca="false">IF(OR(K112="",G112=""),"",S112*Settings!$B$10)</f>
        <v/>
      </c>
      <c r="U112" s="41" t="str">
        <f aca="false">IF(OR(K112="",G112=""),"",(S112+T112)*IF(N112="",Settings!$B$5,N112))</f>
        <v/>
      </c>
      <c r="V112" s="41" t="str">
        <f aca="false">IF(OR(K112="",G112=""),"",IF(S112+T112&lt;=Settings!$B$8,Settings!$B$6,Settings!$B$7))</f>
        <v/>
      </c>
      <c r="W112" s="41" t="str">
        <f aca="false">IF(OR(K112="",G112=""),"",S112*IF(UPPER(O112)="Y",Settings!$B$9,0))</f>
        <v/>
      </c>
      <c r="X112" s="41" t="str">
        <f aca="false">IF(OR(K112="",G112=""),"",(S112+T112)*IF(M112="",Settings!$B$11,M112))</f>
        <v/>
      </c>
      <c r="Y112" s="41" t="str">
        <f aca="false">IF(OR(K112="",G112=""),"",U112+V112+W112+X112)</f>
        <v/>
      </c>
      <c r="Z112" s="41" t="str">
        <f aca="false">IF(OR(K112="",G112=""),"",S112-Y112)</f>
        <v/>
      </c>
      <c r="AA112" s="41" t="str">
        <f aca="false">IF(OR(K112="",G112=""),"",Z112*Settings!$B$12)</f>
        <v/>
      </c>
      <c r="AB112" s="41" t="str">
        <f aca="false">IF(OR(K112="",G112=""),"",S112*Settings!$B$13)</f>
        <v/>
      </c>
      <c r="AC112" s="44" t="str">
        <f aca="false">IF(OR(K112="",G112=""),"",Z112-AA112-AB112-J112)</f>
        <v/>
      </c>
      <c r="AD112" s="45" t="str">
        <f aca="false">IF(OR(K112="",G112=""),"",AC112*Settings!$B$14)</f>
        <v/>
      </c>
      <c r="AE112" s="43" t="str">
        <f aca="false">IF(OR(K112="",G112=""),"",IF(S112=0,"",AC112/S112))</f>
        <v/>
      </c>
      <c r="AF112" s="43" t="str">
        <f aca="false">IF(OR(K112="",G112=""),"",IF(J112=0,"",AC112/J112))</f>
        <v/>
      </c>
      <c r="AG112" s="41" t="str">
        <f aca="false">IF(OR(K112="",G112=""),"",(J112+V112)/(1-(1+Settings!$B$10)*(IF(N112="",Settings!$B$5,N112)+IF(M112="",Settings!$B$11,M112))-IF(UPPER(O112)="Y",Settings!$B$9,0)-Settings!$B$13-Settings!$B$12)-N(L112))</f>
        <v/>
      </c>
      <c r="AH112" s="41" t="str">
        <f aca="false">IF(OR(K112="",G112=""),"",(J112+V112+Settings!$B$15)/(1-(1+Settings!$B$10)*(IF(N112="",Settings!$B$5,N112)+IF(M112="",Settings!$B$11,M112))-IF(UPPER(O112)="Y",Settings!$B$9,0)-Settings!$B$13-Settings!$B$12)-N(L112))</f>
        <v/>
      </c>
      <c r="AI112" s="46" t="str">
        <f aca="false">IF(C112="","",IF(OR(ISNUMBER(SEARCH("amazon",C112)),ISNUMBER(SEARCH("walmart",C112)),ISNUMBER(SEARCH("aliexpress",C112)),ISNUMBER(SEARCH("temu",C112))),"⚠ Retail source — not allowed","✓ Wholesale / own stock"))</f>
        <v/>
      </c>
      <c r="AJ112" s="47" t="str">
        <f aca="false">IF(OR(K112="",G112=""),"",IF(LEFT(AI112,1)="⚠","❌ SKIP",IF(AND(AC112&gt;=Settings!$B$15,AF112&gt;=Settings!$B$16,OR(R112="",N(R112)&gt;=Settings!$B$17)),"✅ GO",IF(AC112&gt;0,"⚠ CHECK","❌ SKIP"))))</f>
        <v/>
      </c>
      <c r="AK112" s="38"/>
    </row>
    <row r="113" customFormat="false" ht="15" hidden="false" customHeight="false" outlineLevel="0" collapsed="false">
      <c r="A113" s="37" t="str">
        <f aca="false">IF(B113="","",ROW()-4)</f>
        <v/>
      </c>
      <c r="B113" s="38"/>
      <c r="C113" s="39"/>
      <c r="D113" s="38"/>
      <c r="E113" s="38"/>
      <c r="F113" s="38"/>
      <c r="G113" s="40"/>
      <c r="H113" s="40"/>
      <c r="I113" s="40"/>
      <c r="J113" s="41" t="str">
        <f aca="false">IF(G113="","",G113+N(H113)+N(I113))</f>
        <v/>
      </c>
      <c r="K113" s="40"/>
      <c r="L113" s="40"/>
      <c r="M113" s="42"/>
      <c r="N113" s="42"/>
      <c r="O113" s="39"/>
      <c r="P113" s="38"/>
      <c r="Q113" s="38"/>
      <c r="R113" s="43" t="str">
        <f aca="false">IF(OR(P113="",Q113=""),"",P113/(P113+Q113))</f>
        <v/>
      </c>
      <c r="S113" s="41" t="str">
        <f aca="false">IF(OR(K113="",G113=""),"",K113+N(L113))</f>
        <v/>
      </c>
      <c r="T113" s="41" t="str">
        <f aca="false">IF(OR(K113="",G113=""),"",S113*Settings!$B$10)</f>
        <v/>
      </c>
      <c r="U113" s="41" t="str">
        <f aca="false">IF(OR(K113="",G113=""),"",(S113+T113)*IF(N113="",Settings!$B$5,N113))</f>
        <v/>
      </c>
      <c r="V113" s="41" t="str">
        <f aca="false">IF(OR(K113="",G113=""),"",IF(S113+T113&lt;=Settings!$B$8,Settings!$B$6,Settings!$B$7))</f>
        <v/>
      </c>
      <c r="W113" s="41" t="str">
        <f aca="false">IF(OR(K113="",G113=""),"",S113*IF(UPPER(O113)="Y",Settings!$B$9,0))</f>
        <v/>
      </c>
      <c r="X113" s="41" t="str">
        <f aca="false">IF(OR(K113="",G113=""),"",(S113+T113)*IF(M113="",Settings!$B$11,M113))</f>
        <v/>
      </c>
      <c r="Y113" s="41" t="str">
        <f aca="false">IF(OR(K113="",G113=""),"",U113+V113+W113+X113)</f>
        <v/>
      </c>
      <c r="Z113" s="41" t="str">
        <f aca="false">IF(OR(K113="",G113=""),"",S113-Y113)</f>
        <v/>
      </c>
      <c r="AA113" s="41" t="str">
        <f aca="false">IF(OR(K113="",G113=""),"",Z113*Settings!$B$12)</f>
        <v/>
      </c>
      <c r="AB113" s="41" t="str">
        <f aca="false">IF(OR(K113="",G113=""),"",S113*Settings!$B$13)</f>
        <v/>
      </c>
      <c r="AC113" s="44" t="str">
        <f aca="false">IF(OR(K113="",G113=""),"",Z113-AA113-AB113-J113)</f>
        <v/>
      </c>
      <c r="AD113" s="45" t="str">
        <f aca="false">IF(OR(K113="",G113=""),"",AC113*Settings!$B$14)</f>
        <v/>
      </c>
      <c r="AE113" s="43" t="str">
        <f aca="false">IF(OR(K113="",G113=""),"",IF(S113=0,"",AC113/S113))</f>
        <v/>
      </c>
      <c r="AF113" s="43" t="str">
        <f aca="false">IF(OR(K113="",G113=""),"",IF(J113=0,"",AC113/J113))</f>
        <v/>
      </c>
      <c r="AG113" s="41" t="str">
        <f aca="false">IF(OR(K113="",G113=""),"",(J113+V113)/(1-(1+Settings!$B$10)*(IF(N113="",Settings!$B$5,N113)+IF(M113="",Settings!$B$11,M113))-IF(UPPER(O113)="Y",Settings!$B$9,0)-Settings!$B$13-Settings!$B$12)-N(L113))</f>
        <v/>
      </c>
      <c r="AH113" s="41" t="str">
        <f aca="false">IF(OR(K113="",G113=""),"",(J113+V113+Settings!$B$15)/(1-(1+Settings!$B$10)*(IF(N113="",Settings!$B$5,N113)+IF(M113="",Settings!$B$11,M113))-IF(UPPER(O113)="Y",Settings!$B$9,0)-Settings!$B$13-Settings!$B$12)-N(L113))</f>
        <v/>
      </c>
      <c r="AI113" s="46" t="str">
        <f aca="false">IF(C113="","",IF(OR(ISNUMBER(SEARCH("amazon",C113)),ISNUMBER(SEARCH("walmart",C113)),ISNUMBER(SEARCH("aliexpress",C113)),ISNUMBER(SEARCH("temu",C113))),"⚠ Retail source — not allowed","✓ Wholesale / own stock"))</f>
        <v/>
      </c>
      <c r="AJ113" s="47" t="str">
        <f aca="false">IF(OR(K113="",G113=""),"",IF(LEFT(AI113,1)="⚠","❌ SKIP",IF(AND(AC113&gt;=Settings!$B$15,AF113&gt;=Settings!$B$16,OR(R113="",N(R113)&gt;=Settings!$B$17)),"✅ GO",IF(AC113&gt;0,"⚠ CHECK","❌ SKIP"))))</f>
        <v/>
      </c>
      <c r="AK113" s="38"/>
    </row>
    <row r="114" customFormat="false" ht="15" hidden="false" customHeight="false" outlineLevel="0" collapsed="false">
      <c r="A114" s="37" t="str">
        <f aca="false">IF(B114="","",ROW()-4)</f>
        <v/>
      </c>
      <c r="B114" s="38"/>
      <c r="C114" s="39"/>
      <c r="D114" s="38"/>
      <c r="E114" s="38"/>
      <c r="F114" s="38"/>
      <c r="G114" s="40"/>
      <c r="H114" s="40"/>
      <c r="I114" s="40"/>
      <c r="J114" s="41" t="str">
        <f aca="false">IF(G114="","",G114+N(H114)+N(I114))</f>
        <v/>
      </c>
      <c r="K114" s="40"/>
      <c r="L114" s="40"/>
      <c r="M114" s="42"/>
      <c r="N114" s="42"/>
      <c r="O114" s="39"/>
      <c r="P114" s="38"/>
      <c r="Q114" s="38"/>
      <c r="R114" s="43" t="str">
        <f aca="false">IF(OR(P114="",Q114=""),"",P114/(P114+Q114))</f>
        <v/>
      </c>
      <c r="S114" s="41" t="str">
        <f aca="false">IF(OR(K114="",G114=""),"",K114+N(L114))</f>
        <v/>
      </c>
      <c r="T114" s="41" t="str">
        <f aca="false">IF(OR(K114="",G114=""),"",S114*Settings!$B$10)</f>
        <v/>
      </c>
      <c r="U114" s="41" t="str">
        <f aca="false">IF(OR(K114="",G114=""),"",(S114+T114)*IF(N114="",Settings!$B$5,N114))</f>
        <v/>
      </c>
      <c r="V114" s="41" t="str">
        <f aca="false">IF(OR(K114="",G114=""),"",IF(S114+T114&lt;=Settings!$B$8,Settings!$B$6,Settings!$B$7))</f>
        <v/>
      </c>
      <c r="W114" s="41" t="str">
        <f aca="false">IF(OR(K114="",G114=""),"",S114*IF(UPPER(O114)="Y",Settings!$B$9,0))</f>
        <v/>
      </c>
      <c r="X114" s="41" t="str">
        <f aca="false">IF(OR(K114="",G114=""),"",(S114+T114)*IF(M114="",Settings!$B$11,M114))</f>
        <v/>
      </c>
      <c r="Y114" s="41" t="str">
        <f aca="false">IF(OR(K114="",G114=""),"",U114+V114+W114+X114)</f>
        <v/>
      </c>
      <c r="Z114" s="41" t="str">
        <f aca="false">IF(OR(K114="",G114=""),"",S114-Y114)</f>
        <v/>
      </c>
      <c r="AA114" s="41" t="str">
        <f aca="false">IF(OR(K114="",G114=""),"",Z114*Settings!$B$12)</f>
        <v/>
      </c>
      <c r="AB114" s="41" t="str">
        <f aca="false">IF(OR(K114="",G114=""),"",S114*Settings!$B$13)</f>
        <v/>
      </c>
      <c r="AC114" s="44" t="str">
        <f aca="false">IF(OR(K114="",G114=""),"",Z114-AA114-AB114-J114)</f>
        <v/>
      </c>
      <c r="AD114" s="45" t="str">
        <f aca="false">IF(OR(K114="",G114=""),"",AC114*Settings!$B$14)</f>
        <v/>
      </c>
      <c r="AE114" s="43" t="str">
        <f aca="false">IF(OR(K114="",G114=""),"",IF(S114=0,"",AC114/S114))</f>
        <v/>
      </c>
      <c r="AF114" s="43" t="str">
        <f aca="false">IF(OR(K114="",G114=""),"",IF(J114=0,"",AC114/J114))</f>
        <v/>
      </c>
      <c r="AG114" s="41" t="str">
        <f aca="false">IF(OR(K114="",G114=""),"",(J114+V114)/(1-(1+Settings!$B$10)*(IF(N114="",Settings!$B$5,N114)+IF(M114="",Settings!$B$11,M114))-IF(UPPER(O114)="Y",Settings!$B$9,0)-Settings!$B$13-Settings!$B$12)-N(L114))</f>
        <v/>
      </c>
      <c r="AH114" s="41" t="str">
        <f aca="false">IF(OR(K114="",G114=""),"",(J114+V114+Settings!$B$15)/(1-(1+Settings!$B$10)*(IF(N114="",Settings!$B$5,N114)+IF(M114="",Settings!$B$11,M114))-IF(UPPER(O114)="Y",Settings!$B$9,0)-Settings!$B$13-Settings!$B$12)-N(L114))</f>
        <v/>
      </c>
      <c r="AI114" s="46" t="str">
        <f aca="false">IF(C114="","",IF(OR(ISNUMBER(SEARCH("amazon",C114)),ISNUMBER(SEARCH("walmart",C114)),ISNUMBER(SEARCH("aliexpress",C114)),ISNUMBER(SEARCH("temu",C114))),"⚠ Retail source — not allowed","✓ Wholesale / own stock"))</f>
        <v/>
      </c>
      <c r="AJ114" s="47" t="str">
        <f aca="false">IF(OR(K114="",G114=""),"",IF(LEFT(AI114,1)="⚠","❌ SKIP",IF(AND(AC114&gt;=Settings!$B$15,AF114&gt;=Settings!$B$16,OR(R114="",N(R114)&gt;=Settings!$B$17)),"✅ GO",IF(AC114&gt;0,"⚠ CHECK","❌ SKIP"))))</f>
        <v/>
      </c>
      <c r="AK114" s="38"/>
    </row>
    <row r="115" customFormat="false" ht="15" hidden="false" customHeight="false" outlineLevel="0" collapsed="false">
      <c r="A115" s="37" t="str">
        <f aca="false">IF(B115="","",ROW()-4)</f>
        <v/>
      </c>
      <c r="B115" s="38"/>
      <c r="C115" s="39"/>
      <c r="D115" s="38"/>
      <c r="E115" s="38"/>
      <c r="F115" s="38"/>
      <c r="G115" s="40"/>
      <c r="H115" s="40"/>
      <c r="I115" s="40"/>
      <c r="J115" s="41" t="str">
        <f aca="false">IF(G115="","",G115+N(H115)+N(I115))</f>
        <v/>
      </c>
      <c r="K115" s="40"/>
      <c r="L115" s="40"/>
      <c r="M115" s="42"/>
      <c r="N115" s="42"/>
      <c r="O115" s="39"/>
      <c r="P115" s="38"/>
      <c r="Q115" s="38"/>
      <c r="R115" s="43" t="str">
        <f aca="false">IF(OR(P115="",Q115=""),"",P115/(P115+Q115))</f>
        <v/>
      </c>
      <c r="S115" s="41" t="str">
        <f aca="false">IF(OR(K115="",G115=""),"",K115+N(L115))</f>
        <v/>
      </c>
      <c r="T115" s="41" t="str">
        <f aca="false">IF(OR(K115="",G115=""),"",S115*Settings!$B$10)</f>
        <v/>
      </c>
      <c r="U115" s="41" t="str">
        <f aca="false">IF(OR(K115="",G115=""),"",(S115+T115)*IF(N115="",Settings!$B$5,N115))</f>
        <v/>
      </c>
      <c r="V115" s="41" t="str">
        <f aca="false">IF(OR(K115="",G115=""),"",IF(S115+T115&lt;=Settings!$B$8,Settings!$B$6,Settings!$B$7))</f>
        <v/>
      </c>
      <c r="W115" s="41" t="str">
        <f aca="false">IF(OR(K115="",G115=""),"",S115*IF(UPPER(O115)="Y",Settings!$B$9,0))</f>
        <v/>
      </c>
      <c r="X115" s="41" t="str">
        <f aca="false">IF(OR(K115="",G115=""),"",(S115+T115)*IF(M115="",Settings!$B$11,M115))</f>
        <v/>
      </c>
      <c r="Y115" s="41" t="str">
        <f aca="false">IF(OR(K115="",G115=""),"",U115+V115+W115+X115)</f>
        <v/>
      </c>
      <c r="Z115" s="41" t="str">
        <f aca="false">IF(OR(K115="",G115=""),"",S115-Y115)</f>
        <v/>
      </c>
      <c r="AA115" s="41" t="str">
        <f aca="false">IF(OR(K115="",G115=""),"",Z115*Settings!$B$12)</f>
        <v/>
      </c>
      <c r="AB115" s="41" t="str">
        <f aca="false">IF(OR(K115="",G115=""),"",S115*Settings!$B$13)</f>
        <v/>
      </c>
      <c r="AC115" s="44" t="str">
        <f aca="false">IF(OR(K115="",G115=""),"",Z115-AA115-AB115-J115)</f>
        <v/>
      </c>
      <c r="AD115" s="45" t="str">
        <f aca="false">IF(OR(K115="",G115=""),"",AC115*Settings!$B$14)</f>
        <v/>
      </c>
      <c r="AE115" s="43" t="str">
        <f aca="false">IF(OR(K115="",G115=""),"",IF(S115=0,"",AC115/S115))</f>
        <v/>
      </c>
      <c r="AF115" s="43" t="str">
        <f aca="false">IF(OR(K115="",G115=""),"",IF(J115=0,"",AC115/J115))</f>
        <v/>
      </c>
      <c r="AG115" s="41" t="str">
        <f aca="false">IF(OR(K115="",G115=""),"",(J115+V115)/(1-(1+Settings!$B$10)*(IF(N115="",Settings!$B$5,N115)+IF(M115="",Settings!$B$11,M115))-IF(UPPER(O115)="Y",Settings!$B$9,0)-Settings!$B$13-Settings!$B$12)-N(L115))</f>
        <v/>
      </c>
      <c r="AH115" s="41" t="str">
        <f aca="false">IF(OR(K115="",G115=""),"",(J115+V115+Settings!$B$15)/(1-(1+Settings!$B$10)*(IF(N115="",Settings!$B$5,N115)+IF(M115="",Settings!$B$11,M115))-IF(UPPER(O115)="Y",Settings!$B$9,0)-Settings!$B$13-Settings!$B$12)-N(L115))</f>
        <v/>
      </c>
      <c r="AI115" s="46" t="str">
        <f aca="false">IF(C115="","",IF(OR(ISNUMBER(SEARCH("amazon",C115)),ISNUMBER(SEARCH("walmart",C115)),ISNUMBER(SEARCH("aliexpress",C115)),ISNUMBER(SEARCH("temu",C115))),"⚠ Retail source — not allowed","✓ Wholesale / own stock"))</f>
        <v/>
      </c>
      <c r="AJ115" s="47" t="str">
        <f aca="false">IF(OR(K115="",G115=""),"",IF(LEFT(AI115,1)="⚠","❌ SKIP",IF(AND(AC115&gt;=Settings!$B$15,AF115&gt;=Settings!$B$16,OR(R115="",N(R115)&gt;=Settings!$B$17)),"✅ GO",IF(AC115&gt;0,"⚠ CHECK","❌ SKIP"))))</f>
        <v/>
      </c>
      <c r="AK115" s="38"/>
    </row>
    <row r="116" customFormat="false" ht="15" hidden="false" customHeight="false" outlineLevel="0" collapsed="false">
      <c r="A116" s="37" t="str">
        <f aca="false">IF(B116="","",ROW()-4)</f>
        <v/>
      </c>
      <c r="B116" s="38"/>
      <c r="C116" s="39"/>
      <c r="D116" s="38"/>
      <c r="E116" s="38"/>
      <c r="F116" s="38"/>
      <c r="G116" s="40"/>
      <c r="H116" s="40"/>
      <c r="I116" s="40"/>
      <c r="J116" s="41" t="str">
        <f aca="false">IF(G116="","",G116+N(H116)+N(I116))</f>
        <v/>
      </c>
      <c r="K116" s="40"/>
      <c r="L116" s="40"/>
      <c r="M116" s="42"/>
      <c r="N116" s="42"/>
      <c r="O116" s="39"/>
      <c r="P116" s="38"/>
      <c r="Q116" s="38"/>
      <c r="R116" s="43" t="str">
        <f aca="false">IF(OR(P116="",Q116=""),"",P116/(P116+Q116))</f>
        <v/>
      </c>
      <c r="S116" s="41" t="str">
        <f aca="false">IF(OR(K116="",G116=""),"",K116+N(L116))</f>
        <v/>
      </c>
      <c r="T116" s="41" t="str">
        <f aca="false">IF(OR(K116="",G116=""),"",S116*Settings!$B$10)</f>
        <v/>
      </c>
      <c r="U116" s="41" t="str">
        <f aca="false">IF(OR(K116="",G116=""),"",(S116+T116)*IF(N116="",Settings!$B$5,N116))</f>
        <v/>
      </c>
      <c r="V116" s="41" t="str">
        <f aca="false">IF(OR(K116="",G116=""),"",IF(S116+T116&lt;=Settings!$B$8,Settings!$B$6,Settings!$B$7))</f>
        <v/>
      </c>
      <c r="W116" s="41" t="str">
        <f aca="false">IF(OR(K116="",G116=""),"",S116*IF(UPPER(O116)="Y",Settings!$B$9,0))</f>
        <v/>
      </c>
      <c r="X116" s="41" t="str">
        <f aca="false">IF(OR(K116="",G116=""),"",(S116+T116)*IF(M116="",Settings!$B$11,M116))</f>
        <v/>
      </c>
      <c r="Y116" s="41" t="str">
        <f aca="false">IF(OR(K116="",G116=""),"",U116+V116+W116+X116)</f>
        <v/>
      </c>
      <c r="Z116" s="41" t="str">
        <f aca="false">IF(OR(K116="",G116=""),"",S116-Y116)</f>
        <v/>
      </c>
      <c r="AA116" s="41" t="str">
        <f aca="false">IF(OR(K116="",G116=""),"",Z116*Settings!$B$12)</f>
        <v/>
      </c>
      <c r="AB116" s="41" t="str">
        <f aca="false">IF(OR(K116="",G116=""),"",S116*Settings!$B$13)</f>
        <v/>
      </c>
      <c r="AC116" s="44" t="str">
        <f aca="false">IF(OR(K116="",G116=""),"",Z116-AA116-AB116-J116)</f>
        <v/>
      </c>
      <c r="AD116" s="45" t="str">
        <f aca="false">IF(OR(K116="",G116=""),"",AC116*Settings!$B$14)</f>
        <v/>
      </c>
      <c r="AE116" s="43" t="str">
        <f aca="false">IF(OR(K116="",G116=""),"",IF(S116=0,"",AC116/S116))</f>
        <v/>
      </c>
      <c r="AF116" s="43" t="str">
        <f aca="false">IF(OR(K116="",G116=""),"",IF(J116=0,"",AC116/J116))</f>
        <v/>
      </c>
      <c r="AG116" s="41" t="str">
        <f aca="false">IF(OR(K116="",G116=""),"",(J116+V116)/(1-(1+Settings!$B$10)*(IF(N116="",Settings!$B$5,N116)+IF(M116="",Settings!$B$11,M116))-IF(UPPER(O116)="Y",Settings!$B$9,0)-Settings!$B$13-Settings!$B$12)-N(L116))</f>
        <v/>
      </c>
      <c r="AH116" s="41" t="str">
        <f aca="false">IF(OR(K116="",G116=""),"",(J116+V116+Settings!$B$15)/(1-(1+Settings!$B$10)*(IF(N116="",Settings!$B$5,N116)+IF(M116="",Settings!$B$11,M116))-IF(UPPER(O116)="Y",Settings!$B$9,0)-Settings!$B$13-Settings!$B$12)-N(L116))</f>
        <v/>
      </c>
      <c r="AI116" s="46" t="str">
        <f aca="false">IF(C116="","",IF(OR(ISNUMBER(SEARCH("amazon",C116)),ISNUMBER(SEARCH("walmart",C116)),ISNUMBER(SEARCH("aliexpress",C116)),ISNUMBER(SEARCH("temu",C116))),"⚠ Retail source — not allowed","✓ Wholesale / own stock"))</f>
        <v/>
      </c>
      <c r="AJ116" s="47" t="str">
        <f aca="false">IF(OR(K116="",G116=""),"",IF(LEFT(AI116,1)="⚠","❌ SKIP",IF(AND(AC116&gt;=Settings!$B$15,AF116&gt;=Settings!$B$16,OR(R116="",N(R116)&gt;=Settings!$B$17)),"✅ GO",IF(AC116&gt;0,"⚠ CHECK","❌ SKIP"))))</f>
        <v/>
      </c>
      <c r="AK116" s="38"/>
    </row>
    <row r="117" customFormat="false" ht="15" hidden="false" customHeight="false" outlineLevel="0" collapsed="false">
      <c r="A117" s="37" t="str">
        <f aca="false">IF(B117="","",ROW()-4)</f>
        <v/>
      </c>
      <c r="B117" s="38"/>
      <c r="C117" s="39"/>
      <c r="D117" s="38"/>
      <c r="E117" s="38"/>
      <c r="F117" s="38"/>
      <c r="G117" s="40"/>
      <c r="H117" s="40"/>
      <c r="I117" s="40"/>
      <c r="J117" s="41" t="str">
        <f aca="false">IF(G117="","",G117+N(H117)+N(I117))</f>
        <v/>
      </c>
      <c r="K117" s="40"/>
      <c r="L117" s="40"/>
      <c r="M117" s="42"/>
      <c r="N117" s="42"/>
      <c r="O117" s="39"/>
      <c r="P117" s="38"/>
      <c r="Q117" s="38"/>
      <c r="R117" s="43" t="str">
        <f aca="false">IF(OR(P117="",Q117=""),"",P117/(P117+Q117))</f>
        <v/>
      </c>
      <c r="S117" s="41" t="str">
        <f aca="false">IF(OR(K117="",G117=""),"",K117+N(L117))</f>
        <v/>
      </c>
      <c r="T117" s="41" t="str">
        <f aca="false">IF(OR(K117="",G117=""),"",S117*Settings!$B$10)</f>
        <v/>
      </c>
      <c r="U117" s="41" t="str">
        <f aca="false">IF(OR(K117="",G117=""),"",(S117+T117)*IF(N117="",Settings!$B$5,N117))</f>
        <v/>
      </c>
      <c r="V117" s="41" t="str">
        <f aca="false">IF(OR(K117="",G117=""),"",IF(S117+T117&lt;=Settings!$B$8,Settings!$B$6,Settings!$B$7))</f>
        <v/>
      </c>
      <c r="W117" s="41" t="str">
        <f aca="false">IF(OR(K117="",G117=""),"",S117*IF(UPPER(O117)="Y",Settings!$B$9,0))</f>
        <v/>
      </c>
      <c r="X117" s="41" t="str">
        <f aca="false">IF(OR(K117="",G117=""),"",(S117+T117)*IF(M117="",Settings!$B$11,M117))</f>
        <v/>
      </c>
      <c r="Y117" s="41" t="str">
        <f aca="false">IF(OR(K117="",G117=""),"",U117+V117+W117+X117)</f>
        <v/>
      </c>
      <c r="Z117" s="41" t="str">
        <f aca="false">IF(OR(K117="",G117=""),"",S117-Y117)</f>
        <v/>
      </c>
      <c r="AA117" s="41" t="str">
        <f aca="false">IF(OR(K117="",G117=""),"",Z117*Settings!$B$12)</f>
        <v/>
      </c>
      <c r="AB117" s="41" t="str">
        <f aca="false">IF(OR(K117="",G117=""),"",S117*Settings!$B$13)</f>
        <v/>
      </c>
      <c r="AC117" s="44" t="str">
        <f aca="false">IF(OR(K117="",G117=""),"",Z117-AA117-AB117-J117)</f>
        <v/>
      </c>
      <c r="AD117" s="45" t="str">
        <f aca="false">IF(OR(K117="",G117=""),"",AC117*Settings!$B$14)</f>
        <v/>
      </c>
      <c r="AE117" s="43" t="str">
        <f aca="false">IF(OR(K117="",G117=""),"",IF(S117=0,"",AC117/S117))</f>
        <v/>
      </c>
      <c r="AF117" s="43" t="str">
        <f aca="false">IF(OR(K117="",G117=""),"",IF(J117=0,"",AC117/J117))</f>
        <v/>
      </c>
      <c r="AG117" s="41" t="str">
        <f aca="false">IF(OR(K117="",G117=""),"",(J117+V117)/(1-(1+Settings!$B$10)*(IF(N117="",Settings!$B$5,N117)+IF(M117="",Settings!$B$11,M117))-IF(UPPER(O117)="Y",Settings!$B$9,0)-Settings!$B$13-Settings!$B$12)-N(L117))</f>
        <v/>
      </c>
      <c r="AH117" s="41" t="str">
        <f aca="false">IF(OR(K117="",G117=""),"",(J117+V117+Settings!$B$15)/(1-(1+Settings!$B$10)*(IF(N117="",Settings!$B$5,N117)+IF(M117="",Settings!$B$11,M117))-IF(UPPER(O117)="Y",Settings!$B$9,0)-Settings!$B$13-Settings!$B$12)-N(L117))</f>
        <v/>
      </c>
      <c r="AI117" s="46" t="str">
        <f aca="false">IF(C117="","",IF(OR(ISNUMBER(SEARCH("amazon",C117)),ISNUMBER(SEARCH("walmart",C117)),ISNUMBER(SEARCH("aliexpress",C117)),ISNUMBER(SEARCH("temu",C117))),"⚠ Retail source — not allowed","✓ Wholesale / own stock"))</f>
        <v/>
      </c>
      <c r="AJ117" s="47" t="str">
        <f aca="false">IF(OR(K117="",G117=""),"",IF(LEFT(AI117,1)="⚠","❌ SKIP",IF(AND(AC117&gt;=Settings!$B$15,AF117&gt;=Settings!$B$16,OR(R117="",N(R117)&gt;=Settings!$B$17)),"✅ GO",IF(AC117&gt;0,"⚠ CHECK","❌ SKIP"))))</f>
        <v/>
      </c>
      <c r="AK117" s="38"/>
    </row>
    <row r="118" customFormat="false" ht="15" hidden="false" customHeight="false" outlineLevel="0" collapsed="false">
      <c r="A118" s="37" t="str">
        <f aca="false">IF(B118="","",ROW()-4)</f>
        <v/>
      </c>
      <c r="B118" s="38"/>
      <c r="C118" s="39"/>
      <c r="D118" s="38"/>
      <c r="E118" s="38"/>
      <c r="F118" s="38"/>
      <c r="G118" s="40"/>
      <c r="H118" s="40"/>
      <c r="I118" s="40"/>
      <c r="J118" s="41" t="str">
        <f aca="false">IF(G118="","",G118+N(H118)+N(I118))</f>
        <v/>
      </c>
      <c r="K118" s="40"/>
      <c r="L118" s="40"/>
      <c r="M118" s="42"/>
      <c r="N118" s="42"/>
      <c r="O118" s="39"/>
      <c r="P118" s="38"/>
      <c r="Q118" s="38"/>
      <c r="R118" s="43" t="str">
        <f aca="false">IF(OR(P118="",Q118=""),"",P118/(P118+Q118))</f>
        <v/>
      </c>
      <c r="S118" s="41" t="str">
        <f aca="false">IF(OR(K118="",G118=""),"",K118+N(L118))</f>
        <v/>
      </c>
      <c r="T118" s="41" t="str">
        <f aca="false">IF(OR(K118="",G118=""),"",S118*Settings!$B$10)</f>
        <v/>
      </c>
      <c r="U118" s="41" t="str">
        <f aca="false">IF(OR(K118="",G118=""),"",(S118+T118)*IF(N118="",Settings!$B$5,N118))</f>
        <v/>
      </c>
      <c r="V118" s="41" t="str">
        <f aca="false">IF(OR(K118="",G118=""),"",IF(S118+T118&lt;=Settings!$B$8,Settings!$B$6,Settings!$B$7))</f>
        <v/>
      </c>
      <c r="W118" s="41" t="str">
        <f aca="false">IF(OR(K118="",G118=""),"",S118*IF(UPPER(O118)="Y",Settings!$B$9,0))</f>
        <v/>
      </c>
      <c r="X118" s="41" t="str">
        <f aca="false">IF(OR(K118="",G118=""),"",(S118+T118)*IF(M118="",Settings!$B$11,M118))</f>
        <v/>
      </c>
      <c r="Y118" s="41" t="str">
        <f aca="false">IF(OR(K118="",G118=""),"",U118+V118+W118+X118)</f>
        <v/>
      </c>
      <c r="Z118" s="41" t="str">
        <f aca="false">IF(OR(K118="",G118=""),"",S118-Y118)</f>
        <v/>
      </c>
      <c r="AA118" s="41" t="str">
        <f aca="false">IF(OR(K118="",G118=""),"",Z118*Settings!$B$12)</f>
        <v/>
      </c>
      <c r="AB118" s="41" t="str">
        <f aca="false">IF(OR(K118="",G118=""),"",S118*Settings!$B$13)</f>
        <v/>
      </c>
      <c r="AC118" s="44" t="str">
        <f aca="false">IF(OR(K118="",G118=""),"",Z118-AA118-AB118-J118)</f>
        <v/>
      </c>
      <c r="AD118" s="45" t="str">
        <f aca="false">IF(OR(K118="",G118=""),"",AC118*Settings!$B$14)</f>
        <v/>
      </c>
      <c r="AE118" s="43" t="str">
        <f aca="false">IF(OR(K118="",G118=""),"",IF(S118=0,"",AC118/S118))</f>
        <v/>
      </c>
      <c r="AF118" s="43" t="str">
        <f aca="false">IF(OR(K118="",G118=""),"",IF(J118=0,"",AC118/J118))</f>
        <v/>
      </c>
      <c r="AG118" s="41" t="str">
        <f aca="false">IF(OR(K118="",G118=""),"",(J118+V118)/(1-(1+Settings!$B$10)*(IF(N118="",Settings!$B$5,N118)+IF(M118="",Settings!$B$11,M118))-IF(UPPER(O118)="Y",Settings!$B$9,0)-Settings!$B$13-Settings!$B$12)-N(L118))</f>
        <v/>
      </c>
      <c r="AH118" s="41" t="str">
        <f aca="false">IF(OR(K118="",G118=""),"",(J118+V118+Settings!$B$15)/(1-(1+Settings!$B$10)*(IF(N118="",Settings!$B$5,N118)+IF(M118="",Settings!$B$11,M118))-IF(UPPER(O118)="Y",Settings!$B$9,0)-Settings!$B$13-Settings!$B$12)-N(L118))</f>
        <v/>
      </c>
      <c r="AI118" s="46" t="str">
        <f aca="false">IF(C118="","",IF(OR(ISNUMBER(SEARCH("amazon",C118)),ISNUMBER(SEARCH("walmart",C118)),ISNUMBER(SEARCH("aliexpress",C118)),ISNUMBER(SEARCH("temu",C118))),"⚠ Retail source — not allowed","✓ Wholesale / own stock"))</f>
        <v/>
      </c>
      <c r="AJ118" s="47" t="str">
        <f aca="false">IF(OR(K118="",G118=""),"",IF(LEFT(AI118,1)="⚠","❌ SKIP",IF(AND(AC118&gt;=Settings!$B$15,AF118&gt;=Settings!$B$16,OR(R118="",N(R118)&gt;=Settings!$B$17)),"✅ GO",IF(AC118&gt;0,"⚠ CHECK","❌ SKIP"))))</f>
        <v/>
      </c>
      <c r="AK118" s="38"/>
    </row>
    <row r="119" customFormat="false" ht="15" hidden="false" customHeight="false" outlineLevel="0" collapsed="false">
      <c r="A119" s="37" t="str">
        <f aca="false">IF(B119="","",ROW()-4)</f>
        <v/>
      </c>
      <c r="B119" s="38"/>
      <c r="C119" s="39"/>
      <c r="D119" s="38"/>
      <c r="E119" s="38"/>
      <c r="F119" s="38"/>
      <c r="G119" s="40"/>
      <c r="H119" s="40"/>
      <c r="I119" s="40"/>
      <c r="J119" s="41" t="str">
        <f aca="false">IF(G119="","",G119+N(H119)+N(I119))</f>
        <v/>
      </c>
      <c r="K119" s="40"/>
      <c r="L119" s="40"/>
      <c r="M119" s="42"/>
      <c r="N119" s="42"/>
      <c r="O119" s="39"/>
      <c r="P119" s="38"/>
      <c r="Q119" s="38"/>
      <c r="R119" s="43" t="str">
        <f aca="false">IF(OR(P119="",Q119=""),"",P119/(P119+Q119))</f>
        <v/>
      </c>
      <c r="S119" s="41" t="str">
        <f aca="false">IF(OR(K119="",G119=""),"",K119+N(L119))</f>
        <v/>
      </c>
      <c r="T119" s="41" t="str">
        <f aca="false">IF(OR(K119="",G119=""),"",S119*Settings!$B$10)</f>
        <v/>
      </c>
      <c r="U119" s="41" t="str">
        <f aca="false">IF(OR(K119="",G119=""),"",(S119+T119)*IF(N119="",Settings!$B$5,N119))</f>
        <v/>
      </c>
      <c r="V119" s="41" t="str">
        <f aca="false">IF(OR(K119="",G119=""),"",IF(S119+T119&lt;=Settings!$B$8,Settings!$B$6,Settings!$B$7))</f>
        <v/>
      </c>
      <c r="W119" s="41" t="str">
        <f aca="false">IF(OR(K119="",G119=""),"",S119*IF(UPPER(O119)="Y",Settings!$B$9,0))</f>
        <v/>
      </c>
      <c r="X119" s="41" t="str">
        <f aca="false">IF(OR(K119="",G119=""),"",(S119+T119)*IF(M119="",Settings!$B$11,M119))</f>
        <v/>
      </c>
      <c r="Y119" s="41" t="str">
        <f aca="false">IF(OR(K119="",G119=""),"",U119+V119+W119+X119)</f>
        <v/>
      </c>
      <c r="Z119" s="41" t="str">
        <f aca="false">IF(OR(K119="",G119=""),"",S119-Y119)</f>
        <v/>
      </c>
      <c r="AA119" s="41" t="str">
        <f aca="false">IF(OR(K119="",G119=""),"",Z119*Settings!$B$12)</f>
        <v/>
      </c>
      <c r="AB119" s="41" t="str">
        <f aca="false">IF(OR(K119="",G119=""),"",S119*Settings!$B$13)</f>
        <v/>
      </c>
      <c r="AC119" s="44" t="str">
        <f aca="false">IF(OR(K119="",G119=""),"",Z119-AA119-AB119-J119)</f>
        <v/>
      </c>
      <c r="AD119" s="45" t="str">
        <f aca="false">IF(OR(K119="",G119=""),"",AC119*Settings!$B$14)</f>
        <v/>
      </c>
      <c r="AE119" s="43" t="str">
        <f aca="false">IF(OR(K119="",G119=""),"",IF(S119=0,"",AC119/S119))</f>
        <v/>
      </c>
      <c r="AF119" s="43" t="str">
        <f aca="false">IF(OR(K119="",G119=""),"",IF(J119=0,"",AC119/J119))</f>
        <v/>
      </c>
      <c r="AG119" s="41" t="str">
        <f aca="false">IF(OR(K119="",G119=""),"",(J119+V119)/(1-(1+Settings!$B$10)*(IF(N119="",Settings!$B$5,N119)+IF(M119="",Settings!$B$11,M119))-IF(UPPER(O119)="Y",Settings!$B$9,0)-Settings!$B$13-Settings!$B$12)-N(L119))</f>
        <v/>
      </c>
      <c r="AH119" s="41" t="str">
        <f aca="false">IF(OR(K119="",G119=""),"",(J119+V119+Settings!$B$15)/(1-(1+Settings!$B$10)*(IF(N119="",Settings!$B$5,N119)+IF(M119="",Settings!$B$11,M119))-IF(UPPER(O119)="Y",Settings!$B$9,0)-Settings!$B$13-Settings!$B$12)-N(L119))</f>
        <v/>
      </c>
      <c r="AI119" s="46" t="str">
        <f aca="false">IF(C119="","",IF(OR(ISNUMBER(SEARCH("amazon",C119)),ISNUMBER(SEARCH("walmart",C119)),ISNUMBER(SEARCH("aliexpress",C119)),ISNUMBER(SEARCH("temu",C119))),"⚠ Retail source — not allowed","✓ Wholesale / own stock"))</f>
        <v/>
      </c>
      <c r="AJ119" s="47" t="str">
        <f aca="false">IF(OR(K119="",G119=""),"",IF(LEFT(AI119,1)="⚠","❌ SKIP",IF(AND(AC119&gt;=Settings!$B$15,AF119&gt;=Settings!$B$16,OR(R119="",N(R119)&gt;=Settings!$B$17)),"✅ GO",IF(AC119&gt;0,"⚠ CHECK","❌ SKIP"))))</f>
        <v/>
      </c>
      <c r="AK119" s="38"/>
    </row>
    <row r="120" customFormat="false" ht="15" hidden="false" customHeight="false" outlineLevel="0" collapsed="false">
      <c r="A120" s="37" t="str">
        <f aca="false">IF(B120="","",ROW()-4)</f>
        <v/>
      </c>
      <c r="B120" s="38"/>
      <c r="C120" s="39"/>
      <c r="D120" s="38"/>
      <c r="E120" s="38"/>
      <c r="F120" s="38"/>
      <c r="G120" s="40"/>
      <c r="H120" s="40"/>
      <c r="I120" s="40"/>
      <c r="J120" s="41" t="str">
        <f aca="false">IF(G120="","",G120+N(H120)+N(I120))</f>
        <v/>
      </c>
      <c r="K120" s="40"/>
      <c r="L120" s="40"/>
      <c r="M120" s="42"/>
      <c r="N120" s="42"/>
      <c r="O120" s="39"/>
      <c r="P120" s="38"/>
      <c r="Q120" s="38"/>
      <c r="R120" s="43" t="str">
        <f aca="false">IF(OR(P120="",Q120=""),"",P120/(P120+Q120))</f>
        <v/>
      </c>
      <c r="S120" s="41" t="str">
        <f aca="false">IF(OR(K120="",G120=""),"",K120+N(L120))</f>
        <v/>
      </c>
      <c r="T120" s="41" t="str">
        <f aca="false">IF(OR(K120="",G120=""),"",S120*Settings!$B$10)</f>
        <v/>
      </c>
      <c r="U120" s="41" t="str">
        <f aca="false">IF(OR(K120="",G120=""),"",(S120+T120)*IF(N120="",Settings!$B$5,N120))</f>
        <v/>
      </c>
      <c r="V120" s="41" t="str">
        <f aca="false">IF(OR(K120="",G120=""),"",IF(S120+T120&lt;=Settings!$B$8,Settings!$B$6,Settings!$B$7))</f>
        <v/>
      </c>
      <c r="W120" s="41" t="str">
        <f aca="false">IF(OR(K120="",G120=""),"",S120*IF(UPPER(O120)="Y",Settings!$B$9,0))</f>
        <v/>
      </c>
      <c r="X120" s="41" t="str">
        <f aca="false">IF(OR(K120="",G120=""),"",(S120+T120)*IF(M120="",Settings!$B$11,M120))</f>
        <v/>
      </c>
      <c r="Y120" s="41" t="str">
        <f aca="false">IF(OR(K120="",G120=""),"",U120+V120+W120+X120)</f>
        <v/>
      </c>
      <c r="Z120" s="41" t="str">
        <f aca="false">IF(OR(K120="",G120=""),"",S120-Y120)</f>
        <v/>
      </c>
      <c r="AA120" s="41" t="str">
        <f aca="false">IF(OR(K120="",G120=""),"",Z120*Settings!$B$12)</f>
        <v/>
      </c>
      <c r="AB120" s="41" t="str">
        <f aca="false">IF(OR(K120="",G120=""),"",S120*Settings!$B$13)</f>
        <v/>
      </c>
      <c r="AC120" s="44" t="str">
        <f aca="false">IF(OR(K120="",G120=""),"",Z120-AA120-AB120-J120)</f>
        <v/>
      </c>
      <c r="AD120" s="45" t="str">
        <f aca="false">IF(OR(K120="",G120=""),"",AC120*Settings!$B$14)</f>
        <v/>
      </c>
      <c r="AE120" s="43" t="str">
        <f aca="false">IF(OR(K120="",G120=""),"",IF(S120=0,"",AC120/S120))</f>
        <v/>
      </c>
      <c r="AF120" s="43" t="str">
        <f aca="false">IF(OR(K120="",G120=""),"",IF(J120=0,"",AC120/J120))</f>
        <v/>
      </c>
      <c r="AG120" s="41" t="str">
        <f aca="false">IF(OR(K120="",G120=""),"",(J120+V120)/(1-(1+Settings!$B$10)*(IF(N120="",Settings!$B$5,N120)+IF(M120="",Settings!$B$11,M120))-IF(UPPER(O120)="Y",Settings!$B$9,0)-Settings!$B$13-Settings!$B$12)-N(L120))</f>
        <v/>
      </c>
      <c r="AH120" s="41" t="str">
        <f aca="false">IF(OR(K120="",G120=""),"",(J120+V120+Settings!$B$15)/(1-(1+Settings!$B$10)*(IF(N120="",Settings!$B$5,N120)+IF(M120="",Settings!$B$11,M120))-IF(UPPER(O120)="Y",Settings!$B$9,0)-Settings!$B$13-Settings!$B$12)-N(L120))</f>
        <v/>
      </c>
      <c r="AI120" s="46" t="str">
        <f aca="false">IF(C120="","",IF(OR(ISNUMBER(SEARCH("amazon",C120)),ISNUMBER(SEARCH("walmart",C120)),ISNUMBER(SEARCH("aliexpress",C120)),ISNUMBER(SEARCH("temu",C120))),"⚠ Retail source — not allowed","✓ Wholesale / own stock"))</f>
        <v/>
      </c>
      <c r="AJ120" s="47" t="str">
        <f aca="false">IF(OR(K120="",G120=""),"",IF(LEFT(AI120,1)="⚠","❌ SKIP",IF(AND(AC120&gt;=Settings!$B$15,AF120&gt;=Settings!$B$16,OR(R120="",N(R120)&gt;=Settings!$B$17)),"✅ GO",IF(AC120&gt;0,"⚠ CHECK","❌ SKIP"))))</f>
        <v/>
      </c>
      <c r="AK120" s="38"/>
    </row>
    <row r="121" customFormat="false" ht="15" hidden="false" customHeight="false" outlineLevel="0" collapsed="false">
      <c r="A121" s="37" t="str">
        <f aca="false">IF(B121="","",ROW()-4)</f>
        <v/>
      </c>
      <c r="B121" s="38"/>
      <c r="C121" s="39"/>
      <c r="D121" s="38"/>
      <c r="E121" s="38"/>
      <c r="F121" s="38"/>
      <c r="G121" s="40"/>
      <c r="H121" s="40"/>
      <c r="I121" s="40"/>
      <c r="J121" s="41" t="str">
        <f aca="false">IF(G121="","",G121+N(H121)+N(I121))</f>
        <v/>
      </c>
      <c r="K121" s="40"/>
      <c r="L121" s="40"/>
      <c r="M121" s="42"/>
      <c r="N121" s="42"/>
      <c r="O121" s="39"/>
      <c r="P121" s="38"/>
      <c r="Q121" s="38"/>
      <c r="R121" s="43" t="str">
        <f aca="false">IF(OR(P121="",Q121=""),"",P121/(P121+Q121))</f>
        <v/>
      </c>
      <c r="S121" s="41" t="str">
        <f aca="false">IF(OR(K121="",G121=""),"",K121+N(L121))</f>
        <v/>
      </c>
      <c r="T121" s="41" t="str">
        <f aca="false">IF(OR(K121="",G121=""),"",S121*Settings!$B$10)</f>
        <v/>
      </c>
      <c r="U121" s="41" t="str">
        <f aca="false">IF(OR(K121="",G121=""),"",(S121+T121)*IF(N121="",Settings!$B$5,N121))</f>
        <v/>
      </c>
      <c r="V121" s="41" t="str">
        <f aca="false">IF(OR(K121="",G121=""),"",IF(S121+T121&lt;=Settings!$B$8,Settings!$B$6,Settings!$B$7))</f>
        <v/>
      </c>
      <c r="W121" s="41" t="str">
        <f aca="false">IF(OR(K121="",G121=""),"",S121*IF(UPPER(O121)="Y",Settings!$B$9,0))</f>
        <v/>
      </c>
      <c r="X121" s="41" t="str">
        <f aca="false">IF(OR(K121="",G121=""),"",(S121+T121)*IF(M121="",Settings!$B$11,M121))</f>
        <v/>
      </c>
      <c r="Y121" s="41" t="str">
        <f aca="false">IF(OR(K121="",G121=""),"",U121+V121+W121+X121)</f>
        <v/>
      </c>
      <c r="Z121" s="41" t="str">
        <f aca="false">IF(OR(K121="",G121=""),"",S121-Y121)</f>
        <v/>
      </c>
      <c r="AA121" s="41" t="str">
        <f aca="false">IF(OR(K121="",G121=""),"",Z121*Settings!$B$12)</f>
        <v/>
      </c>
      <c r="AB121" s="41" t="str">
        <f aca="false">IF(OR(K121="",G121=""),"",S121*Settings!$B$13)</f>
        <v/>
      </c>
      <c r="AC121" s="44" t="str">
        <f aca="false">IF(OR(K121="",G121=""),"",Z121-AA121-AB121-J121)</f>
        <v/>
      </c>
      <c r="AD121" s="45" t="str">
        <f aca="false">IF(OR(K121="",G121=""),"",AC121*Settings!$B$14)</f>
        <v/>
      </c>
      <c r="AE121" s="43" t="str">
        <f aca="false">IF(OR(K121="",G121=""),"",IF(S121=0,"",AC121/S121))</f>
        <v/>
      </c>
      <c r="AF121" s="43" t="str">
        <f aca="false">IF(OR(K121="",G121=""),"",IF(J121=0,"",AC121/J121))</f>
        <v/>
      </c>
      <c r="AG121" s="41" t="str">
        <f aca="false">IF(OR(K121="",G121=""),"",(J121+V121)/(1-(1+Settings!$B$10)*(IF(N121="",Settings!$B$5,N121)+IF(M121="",Settings!$B$11,M121))-IF(UPPER(O121)="Y",Settings!$B$9,0)-Settings!$B$13-Settings!$B$12)-N(L121))</f>
        <v/>
      </c>
      <c r="AH121" s="41" t="str">
        <f aca="false">IF(OR(K121="",G121=""),"",(J121+V121+Settings!$B$15)/(1-(1+Settings!$B$10)*(IF(N121="",Settings!$B$5,N121)+IF(M121="",Settings!$B$11,M121))-IF(UPPER(O121)="Y",Settings!$B$9,0)-Settings!$B$13-Settings!$B$12)-N(L121))</f>
        <v/>
      </c>
      <c r="AI121" s="46" t="str">
        <f aca="false">IF(C121="","",IF(OR(ISNUMBER(SEARCH("amazon",C121)),ISNUMBER(SEARCH("walmart",C121)),ISNUMBER(SEARCH("aliexpress",C121)),ISNUMBER(SEARCH("temu",C121))),"⚠ Retail source — not allowed","✓ Wholesale / own stock"))</f>
        <v/>
      </c>
      <c r="AJ121" s="47" t="str">
        <f aca="false">IF(OR(K121="",G121=""),"",IF(LEFT(AI121,1)="⚠","❌ SKIP",IF(AND(AC121&gt;=Settings!$B$15,AF121&gt;=Settings!$B$16,OR(R121="",N(R121)&gt;=Settings!$B$17)),"✅ GO",IF(AC121&gt;0,"⚠ CHECK","❌ SKIP"))))</f>
        <v/>
      </c>
      <c r="AK121" s="38"/>
    </row>
    <row r="122" customFormat="false" ht="15" hidden="false" customHeight="false" outlineLevel="0" collapsed="false">
      <c r="A122" s="37" t="str">
        <f aca="false">IF(B122="","",ROW()-4)</f>
        <v/>
      </c>
      <c r="B122" s="38"/>
      <c r="C122" s="39"/>
      <c r="D122" s="38"/>
      <c r="E122" s="38"/>
      <c r="F122" s="38"/>
      <c r="G122" s="40"/>
      <c r="H122" s="40"/>
      <c r="I122" s="40"/>
      <c r="J122" s="41" t="str">
        <f aca="false">IF(G122="","",G122+N(H122)+N(I122))</f>
        <v/>
      </c>
      <c r="K122" s="40"/>
      <c r="L122" s="40"/>
      <c r="M122" s="42"/>
      <c r="N122" s="42"/>
      <c r="O122" s="39"/>
      <c r="P122" s="38"/>
      <c r="Q122" s="38"/>
      <c r="R122" s="43" t="str">
        <f aca="false">IF(OR(P122="",Q122=""),"",P122/(P122+Q122))</f>
        <v/>
      </c>
      <c r="S122" s="41" t="str">
        <f aca="false">IF(OR(K122="",G122=""),"",K122+N(L122))</f>
        <v/>
      </c>
      <c r="T122" s="41" t="str">
        <f aca="false">IF(OR(K122="",G122=""),"",S122*Settings!$B$10)</f>
        <v/>
      </c>
      <c r="U122" s="41" t="str">
        <f aca="false">IF(OR(K122="",G122=""),"",(S122+T122)*IF(N122="",Settings!$B$5,N122))</f>
        <v/>
      </c>
      <c r="V122" s="41" t="str">
        <f aca="false">IF(OR(K122="",G122=""),"",IF(S122+T122&lt;=Settings!$B$8,Settings!$B$6,Settings!$B$7))</f>
        <v/>
      </c>
      <c r="W122" s="41" t="str">
        <f aca="false">IF(OR(K122="",G122=""),"",S122*IF(UPPER(O122)="Y",Settings!$B$9,0))</f>
        <v/>
      </c>
      <c r="X122" s="41" t="str">
        <f aca="false">IF(OR(K122="",G122=""),"",(S122+T122)*IF(M122="",Settings!$B$11,M122))</f>
        <v/>
      </c>
      <c r="Y122" s="41" t="str">
        <f aca="false">IF(OR(K122="",G122=""),"",U122+V122+W122+X122)</f>
        <v/>
      </c>
      <c r="Z122" s="41" t="str">
        <f aca="false">IF(OR(K122="",G122=""),"",S122-Y122)</f>
        <v/>
      </c>
      <c r="AA122" s="41" t="str">
        <f aca="false">IF(OR(K122="",G122=""),"",Z122*Settings!$B$12)</f>
        <v/>
      </c>
      <c r="AB122" s="41" t="str">
        <f aca="false">IF(OR(K122="",G122=""),"",S122*Settings!$B$13)</f>
        <v/>
      </c>
      <c r="AC122" s="44" t="str">
        <f aca="false">IF(OR(K122="",G122=""),"",Z122-AA122-AB122-J122)</f>
        <v/>
      </c>
      <c r="AD122" s="45" t="str">
        <f aca="false">IF(OR(K122="",G122=""),"",AC122*Settings!$B$14)</f>
        <v/>
      </c>
      <c r="AE122" s="43" t="str">
        <f aca="false">IF(OR(K122="",G122=""),"",IF(S122=0,"",AC122/S122))</f>
        <v/>
      </c>
      <c r="AF122" s="43" t="str">
        <f aca="false">IF(OR(K122="",G122=""),"",IF(J122=0,"",AC122/J122))</f>
        <v/>
      </c>
      <c r="AG122" s="41" t="str">
        <f aca="false">IF(OR(K122="",G122=""),"",(J122+V122)/(1-(1+Settings!$B$10)*(IF(N122="",Settings!$B$5,N122)+IF(M122="",Settings!$B$11,M122))-IF(UPPER(O122)="Y",Settings!$B$9,0)-Settings!$B$13-Settings!$B$12)-N(L122))</f>
        <v/>
      </c>
      <c r="AH122" s="41" t="str">
        <f aca="false">IF(OR(K122="",G122=""),"",(J122+V122+Settings!$B$15)/(1-(1+Settings!$B$10)*(IF(N122="",Settings!$B$5,N122)+IF(M122="",Settings!$B$11,M122))-IF(UPPER(O122)="Y",Settings!$B$9,0)-Settings!$B$13-Settings!$B$12)-N(L122))</f>
        <v/>
      </c>
      <c r="AI122" s="46" t="str">
        <f aca="false">IF(C122="","",IF(OR(ISNUMBER(SEARCH("amazon",C122)),ISNUMBER(SEARCH("walmart",C122)),ISNUMBER(SEARCH("aliexpress",C122)),ISNUMBER(SEARCH("temu",C122))),"⚠ Retail source — not allowed","✓ Wholesale / own stock"))</f>
        <v/>
      </c>
      <c r="AJ122" s="47" t="str">
        <f aca="false">IF(OR(K122="",G122=""),"",IF(LEFT(AI122,1)="⚠","❌ SKIP",IF(AND(AC122&gt;=Settings!$B$15,AF122&gt;=Settings!$B$16,OR(R122="",N(R122)&gt;=Settings!$B$17)),"✅ GO",IF(AC122&gt;0,"⚠ CHECK","❌ SKIP"))))</f>
        <v/>
      </c>
      <c r="AK122" s="38"/>
    </row>
    <row r="123" customFormat="false" ht="15" hidden="false" customHeight="false" outlineLevel="0" collapsed="false">
      <c r="A123" s="37" t="str">
        <f aca="false">IF(B123="","",ROW()-4)</f>
        <v/>
      </c>
      <c r="B123" s="38"/>
      <c r="C123" s="39"/>
      <c r="D123" s="38"/>
      <c r="E123" s="38"/>
      <c r="F123" s="38"/>
      <c r="G123" s="40"/>
      <c r="H123" s="40"/>
      <c r="I123" s="40"/>
      <c r="J123" s="41" t="str">
        <f aca="false">IF(G123="","",G123+N(H123)+N(I123))</f>
        <v/>
      </c>
      <c r="K123" s="40"/>
      <c r="L123" s="40"/>
      <c r="M123" s="42"/>
      <c r="N123" s="42"/>
      <c r="O123" s="39"/>
      <c r="P123" s="38"/>
      <c r="Q123" s="38"/>
      <c r="R123" s="43" t="str">
        <f aca="false">IF(OR(P123="",Q123=""),"",P123/(P123+Q123))</f>
        <v/>
      </c>
      <c r="S123" s="41" t="str">
        <f aca="false">IF(OR(K123="",G123=""),"",K123+N(L123))</f>
        <v/>
      </c>
      <c r="T123" s="41" t="str">
        <f aca="false">IF(OR(K123="",G123=""),"",S123*Settings!$B$10)</f>
        <v/>
      </c>
      <c r="U123" s="41" t="str">
        <f aca="false">IF(OR(K123="",G123=""),"",(S123+T123)*IF(N123="",Settings!$B$5,N123))</f>
        <v/>
      </c>
      <c r="V123" s="41" t="str">
        <f aca="false">IF(OR(K123="",G123=""),"",IF(S123+T123&lt;=Settings!$B$8,Settings!$B$6,Settings!$B$7))</f>
        <v/>
      </c>
      <c r="W123" s="41" t="str">
        <f aca="false">IF(OR(K123="",G123=""),"",S123*IF(UPPER(O123)="Y",Settings!$B$9,0))</f>
        <v/>
      </c>
      <c r="X123" s="41" t="str">
        <f aca="false">IF(OR(K123="",G123=""),"",(S123+T123)*IF(M123="",Settings!$B$11,M123))</f>
        <v/>
      </c>
      <c r="Y123" s="41" t="str">
        <f aca="false">IF(OR(K123="",G123=""),"",U123+V123+W123+X123)</f>
        <v/>
      </c>
      <c r="Z123" s="41" t="str">
        <f aca="false">IF(OR(K123="",G123=""),"",S123-Y123)</f>
        <v/>
      </c>
      <c r="AA123" s="41" t="str">
        <f aca="false">IF(OR(K123="",G123=""),"",Z123*Settings!$B$12)</f>
        <v/>
      </c>
      <c r="AB123" s="41" t="str">
        <f aca="false">IF(OR(K123="",G123=""),"",S123*Settings!$B$13)</f>
        <v/>
      </c>
      <c r="AC123" s="44" t="str">
        <f aca="false">IF(OR(K123="",G123=""),"",Z123-AA123-AB123-J123)</f>
        <v/>
      </c>
      <c r="AD123" s="45" t="str">
        <f aca="false">IF(OR(K123="",G123=""),"",AC123*Settings!$B$14)</f>
        <v/>
      </c>
      <c r="AE123" s="43" t="str">
        <f aca="false">IF(OR(K123="",G123=""),"",IF(S123=0,"",AC123/S123))</f>
        <v/>
      </c>
      <c r="AF123" s="43" t="str">
        <f aca="false">IF(OR(K123="",G123=""),"",IF(J123=0,"",AC123/J123))</f>
        <v/>
      </c>
      <c r="AG123" s="41" t="str">
        <f aca="false">IF(OR(K123="",G123=""),"",(J123+V123)/(1-(1+Settings!$B$10)*(IF(N123="",Settings!$B$5,N123)+IF(M123="",Settings!$B$11,M123))-IF(UPPER(O123)="Y",Settings!$B$9,0)-Settings!$B$13-Settings!$B$12)-N(L123))</f>
        <v/>
      </c>
      <c r="AH123" s="41" t="str">
        <f aca="false">IF(OR(K123="",G123=""),"",(J123+V123+Settings!$B$15)/(1-(1+Settings!$B$10)*(IF(N123="",Settings!$B$5,N123)+IF(M123="",Settings!$B$11,M123))-IF(UPPER(O123)="Y",Settings!$B$9,0)-Settings!$B$13-Settings!$B$12)-N(L123))</f>
        <v/>
      </c>
      <c r="AI123" s="46" t="str">
        <f aca="false">IF(C123="","",IF(OR(ISNUMBER(SEARCH("amazon",C123)),ISNUMBER(SEARCH("walmart",C123)),ISNUMBER(SEARCH("aliexpress",C123)),ISNUMBER(SEARCH("temu",C123))),"⚠ Retail source — not allowed","✓ Wholesale / own stock"))</f>
        <v/>
      </c>
      <c r="AJ123" s="47" t="str">
        <f aca="false">IF(OR(K123="",G123=""),"",IF(LEFT(AI123,1)="⚠","❌ SKIP",IF(AND(AC123&gt;=Settings!$B$15,AF123&gt;=Settings!$B$16,OR(R123="",N(R123)&gt;=Settings!$B$17)),"✅ GO",IF(AC123&gt;0,"⚠ CHECK","❌ SKIP"))))</f>
        <v/>
      </c>
      <c r="AK123" s="38"/>
    </row>
    <row r="124" customFormat="false" ht="15" hidden="false" customHeight="false" outlineLevel="0" collapsed="false">
      <c r="A124" s="37" t="str">
        <f aca="false">IF(B124="","",ROW()-4)</f>
        <v/>
      </c>
      <c r="B124" s="38"/>
      <c r="C124" s="39"/>
      <c r="D124" s="38"/>
      <c r="E124" s="38"/>
      <c r="F124" s="38"/>
      <c r="G124" s="40"/>
      <c r="H124" s="40"/>
      <c r="I124" s="40"/>
      <c r="J124" s="41" t="str">
        <f aca="false">IF(G124="","",G124+N(H124)+N(I124))</f>
        <v/>
      </c>
      <c r="K124" s="40"/>
      <c r="L124" s="40"/>
      <c r="M124" s="42"/>
      <c r="N124" s="42"/>
      <c r="O124" s="39"/>
      <c r="P124" s="38"/>
      <c r="Q124" s="38"/>
      <c r="R124" s="43" t="str">
        <f aca="false">IF(OR(P124="",Q124=""),"",P124/(P124+Q124))</f>
        <v/>
      </c>
      <c r="S124" s="41" t="str">
        <f aca="false">IF(OR(K124="",G124=""),"",K124+N(L124))</f>
        <v/>
      </c>
      <c r="T124" s="41" t="str">
        <f aca="false">IF(OR(K124="",G124=""),"",S124*Settings!$B$10)</f>
        <v/>
      </c>
      <c r="U124" s="41" t="str">
        <f aca="false">IF(OR(K124="",G124=""),"",(S124+T124)*IF(N124="",Settings!$B$5,N124))</f>
        <v/>
      </c>
      <c r="V124" s="41" t="str">
        <f aca="false">IF(OR(K124="",G124=""),"",IF(S124+T124&lt;=Settings!$B$8,Settings!$B$6,Settings!$B$7))</f>
        <v/>
      </c>
      <c r="W124" s="41" t="str">
        <f aca="false">IF(OR(K124="",G124=""),"",S124*IF(UPPER(O124)="Y",Settings!$B$9,0))</f>
        <v/>
      </c>
      <c r="X124" s="41" t="str">
        <f aca="false">IF(OR(K124="",G124=""),"",(S124+T124)*IF(M124="",Settings!$B$11,M124))</f>
        <v/>
      </c>
      <c r="Y124" s="41" t="str">
        <f aca="false">IF(OR(K124="",G124=""),"",U124+V124+W124+X124)</f>
        <v/>
      </c>
      <c r="Z124" s="41" t="str">
        <f aca="false">IF(OR(K124="",G124=""),"",S124-Y124)</f>
        <v/>
      </c>
      <c r="AA124" s="41" t="str">
        <f aca="false">IF(OR(K124="",G124=""),"",Z124*Settings!$B$12)</f>
        <v/>
      </c>
      <c r="AB124" s="41" t="str">
        <f aca="false">IF(OR(K124="",G124=""),"",S124*Settings!$B$13)</f>
        <v/>
      </c>
      <c r="AC124" s="44" t="str">
        <f aca="false">IF(OR(K124="",G124=""),"",Z124-AA124-AB124-J124)</f>
        <v/>
      </c>
      <c r="AD124" s="45" t="str">
        <f aca="false">IF(OR(K124="",G124=""),"",AC124*Settings!$B$14)</f>
        <v/>
      </c>
      <c r="AE124" s="43" t="str">
        <f aca="false">IF(OR(K124="",G124=""),"",IF(S124=0,"",AC124/S124))</f>
        <v/>
      </c>
      <c r="AF124" s="43" t="str">
        <f aca="false">IF(OR(K124="",G124=""),"",IF(J124=0,"",AC124/J124))</f>
        <v/>
      </c>
      <c r="AG124" s="41" t="str">
        <f aca="false">IF(OR(K124="",G124=""),"",(J124+V124)/(1-(1+Settings!$B$10)*(IF(N124="",Settings!$B$5,N124)+IF(M124="",Settings!$B$11,M124))-IF(UPPER(O124)="Y",Settings!$B$9,0)-Settings!$B$13-Settings!$B$12)-N(L124))</f>
        <v/>
      </c>
      <c r="AH124" s="41" t="str">
        <f aca="false">IF(OR(K124="",G124=""),"",(J124+V124+Settings!$B$15)/(1-(1+Settings!$B$10)*(IF(N124="",Settings!$B$5,N124)+IF(M124="",Settings!$B$11,M124))-IF(UPPER(O124)="Y",Settings!$B$9,0)-Settings!$B$13-Settings!$B$12)-N(L124))</f>
        <v/>
      </c>
      <c r="AI124" s="46" t="str">
        <f aca="false">IF(C124="","",IF(OR(ISNUMBER(SEARCH("amazon",C124)),ISNUMBER(SEARCH("walmart",C124)),ISNUMBER(SEARCH("aliexpress",C124)),ISNUMBER(SEARCH("temu",C124))),"⚠ Retail source — not allowed","✓ Wholesale / own stock"))</f>
        <v/>
      </c>
      <c r="AJ124" s="47" t="str">
        <f aca="false">IF(OR(K124="",G124=""),"",IF(LEFT(AI124,1)="⚠","❌ SKIP",IF(AND(AC124&gt;=Settings!$B$15,AF124&gt;=Settings!$B$16,OR(R124="",N(R124)&gt;=Settings!$B$17)),"✅ GO",IF(AC124&gt;0,"⚠ CHECK","❌ SKIP"))))</f>
        <v/>
      </c>
      <c r="AK124" s="38"/>
    </row>
    <row r="125" customFormat="false" ht="15" hidden="false" customHeight="false" outlineLevel="0" collapsed="false">
      <c r="A125" s="37" t="str">
        <f aca="false">IF(B125="","",ROW()-4)</f>
        <v/>
      </c>
      <c r="B125" s="38"/>
      <c r="C125" s="39"/>
      <c r="D125" s="38"/>
      <c r="E125" s="38"/>
      <c r="F125" s="38"/>
      <c r="G125" s="40"/>
      <c r="H125" s="40"/>
      <c r="I125" s="40"/>
      <c r="J125" s="41" t="str">
        <f aca="false">IF(G125="","",G125+N(H125)+N(I125))</f>
        <v/>
      </c>
      <c r="K125" s="40"/>
      <c r="L125" s="40"/>
      <c r="M125" s="42"/>
      <c r="N125" s="42"/>
      <c r="O125" s="39"/>
      <c r="P125" s="38"/>
      <c r="Q125" s="38"/>
      <c r="R125" s="43" t="str">
        <f aca="false">IF(OR(P125="",Q125=""),"",P125/(P125+Q125))</f>
        <v/>
      </c>
      <c r="S125" s="41" t="str">
        <f aca="false">IF(OR(K125="",G125=""),"",K125+N(L125))</f>
        <v/>
      </c>
      <c r="T125" s="41" t="str">
        <f aca="false">IF(OR(K125="",G125=""),"",S125*Settings!$B$10)</f>
        <v/>
      </c>
      <c r="U125" s="41" t="str">
        <f aca="false">IF(OR(K125="",G125=""),"",(S125+T125)*IF(N125="",Settings!$B$5,N125))</f>
        <v/>
      </c>
      <c r="V125" s="41" t="str">
        <f aca="false">IF(OR(K125="",G125=""),"",IF(S125+T125&lt;=Settings!$B$8,Settings!$B$6,Settings!$B$7))</f>
        <v/>
      </c>
      <c r="W125" s="41" t="str">
        <f aca="false">IF(OR(K125="",G125=""),"",S125*IF(UPPER(O125)="Y",Settings!$B$9,0))</f>
        <v/>
      </c>
      <c r="X125" s="41" t="str">
        <f aca="false">IF(OR(K125="",G125=""),"",(S125+T125)*IF(M125="",Settings!$B$11,M125))</f>
        <v/>
      </c>
      <c r="Y125" s="41" t="str">
        <f aca="false">IF(OR(K125="",G125=""),"",U125+V125+W125+X125)</f>
        <v/>
      </c>
      <c r="Z125" s="41" t="str">
        <f aca="false">IF(OR(K125="",G125=""),"",S125-Y125)</f>
        <v/>
      </c>
      <c r="AA125" s="41" t="str">
        <f aca="false">IF(OR(K125="",G125=""),"",Z125*Settings!$B$12)</f>
        <v/>
      </c>
      <c r="AB125" s="41" t="str">
        <f aca="false">IF(OR(K125="",G125=""),"",S125*Settings!$B$13)</f>
        <v/>
      </c>
      <c r="AC125" s="44" t="str">
        <f aca="false">IF(OR(K125="",G125=""),"",Z125-AA125-AB125-J125)</f>
        <v/>
      </c>
      <c r="AD125" s="45" t="str">
        <f aca="false">IF(OR(K125="",G125=""),"",AC125*Settings!$B$14)</f>
        <v/>
      </c>
      <c r="AE125" s="43" t="str">
        <f aca="false">IF(OR(K125="",G125=""),"",IF(S125=0,"",AC125/S125))</f>
        <v/>
      </c>
      <c r="AF125" s="43" t="str">
        <f aca="false">IF(OR(K125="",G125=""),"",IF(J125=0,"",AC125/J125))</f>
        <v/>
      </c>
      <c r="AG125" s="41" t="str">
        <f aca="false">IF(OR(K125="",G125=""),"",(J125+V125)/(1-(1+Settings!$B$10)*(IF(N125="",Settings!$B$5,N125)+IF(M125="",Settings!$B$11,M125))-IF(UPPER(O125)="Y",Settings!$B$9,0)-Settings!$B$13-Settings!$B$12)-N(L125))</f>
        <v/>
      </c>
      <c r="AH125" s="41" t="str">
        <f aca="false">IF(OR(K125="",G125=""),"",(J125+V125+Settings!$B$15)/(1-(1+Settings!$B$10)*(IF(N125="",Settings!$B$5,N125)+IF(M125="",Settings!$B$11,M125))-IF(UPPER(O125)="Y",Settings!$B$9,0)-Settings!$B$13-Settings!$B$12)-N(L125))</f>
        <v/>
      </c>
      <c r="AI125" s="46" t="str">
        <f aca="false">IF(C125="","",IF(OR(ISNUMBER(SEARCH("amazon",C125)),ISNUMBER(SEARCH("walmart",C125)),ISNUMBER(SEARCH("aliexpress",C125)),ISNUMBER(SEARCH("temu",C125))),"⚠ Retail source — not allowed","✓ Wholesale / own stock"))</f>
        <v/>
      </c>
      <c r="AJ125" s="47" t="str">
        <f aca="false">IF(OR(K125="",G125=""),"",IF(LEFT(AI125,1)="⚠","❌ SKIP",IF(AND(AC125&gt;=Settings!$B$15,AF125&gt;=Settings!$B$16,OR(R125="",N(R125)&gt;=Settings!$B$17)),"✅ GO",IF(AC125&gt;0,"⚠ CHECK","❌ SKIP"))))</f>
        <v/>
      </c>
      <c r="AK125" s="38"/>
    </row>
    <row r="126" customFormat="false" ht="15" hidden="false" customHeight="false" outlineLevel="0" collapsed="false">
      <c r="A126" s="37" t="str">
        <f aca="false">IF(B126="","",ROW()-4)</f>
        <v/>
      </c>
      <c r="B126" s="38"/>
      <c r="C126" s="39"/>
      <c r="D126" s="38"/>
      <c r="E126" s="38"/>
      <c r="F126" s="38"/>
      <c r="G126" s="40"/>
      <c r="H126" s="40"/>
      <c r="I126" s="40"/>
      <c r="J126" s="41" t="str">
        <f aca="false">IF(G126="","",G126+N(H126)+N(I126))</f>
        <v/>
      </c>
      <c r="K126" s="40"/>
      <c r="L126" s="40"/>
      <c r="M126" s="42"/>
      <c r="N126" s="42"/>
      <c r="O126" s="39"/>
      <c r="P126" s="38"/>
      <c r="Q126" s="38"/>
      <c r="R126" s="43" t="str">
        <f aca="false">IF(OR(P126="",Q126=""),"",P126/(P126+Q126))</f>
        <v/>
      </c>
      <c r="S126" s="41" t="str">
        <f aca="false">IF(OR(K126="",G126=""),"",K126+N(L126))</f>
        <v/>
      </c>
      <c r="T126" s="41" t="str">
        <f aca="false">IF(OR(K126="",G126=""),"",S126*Settings!$B$10)</f>
        <v/>
      </c>
      <c r="U126" s="41" t="str">
        <f aca="false">IF(OR(K126="",G126=""),"",(S126+T126)*IF(N126="",Settings!$B$5,N126))</f>
        <v/>
      </c>
      <c r="V126" s="41" t="str">
        <f aca="false">IF(OR(K126="",G126=""),"",IF(S126+T126&lt;=Settings!$B$8,Settings!$B$6,Settings!$B$7))</f>
        <v/>
      </c>
      <c r="W126" s="41" t="str">
        <f aca="false">IF(OR(K126="",G126=""),"",S126*IF(UPPER(O126)="Y",Settings!$B$9,0))</f>
        <v/>
      </c>
      <c r="X126" s="41" t="str">
        <f aca="false">IF(OR(K126="",G126=""),"",(S126+T126)*IF(M126="",Settings!$B$11,M126))</f>
        <v/>
      </c>
      <c r="Y126" s="41" t="str">
        <f aca="false">IF(OR(K126="",G126=""),"",U126+V126+W126+X126)</f>
        <v/>
      </c>
      <c r="Z126" s="41" t="str">
        <f aca="false">IF(OR(K126="",G126=""),"",S126-Y126)</f>
        <v/>
      </c>
      <c r="AA126" s="41" t="str">
        <f aca="false">IF(OR(K126="",G126=""),"",Z126*Settings!$B$12)</f>
        <v/>
      </c>
      <c r="AB126" s="41" t="str">
        <f aca="false">IF(OR(K126="",G126=""),"",S126*Settings!$B$13)</f>
        <v/>
      </c>
      <c r="AC126" s="44" t="str">
        <f aca="false">IF(OR(K126="",G126=""),"",Z126-AA126-AB126-J126)</f>
        <v/>
      </c>
      <c r="AD126" s="45" t="str">
        <f aca="false">IF(OR(K126="",G126=""),"",AC126*Settings!$B$14)</f>
        <v/>
      </c>
      <c r="AE126" s="43" t="str">
        <f aca="false">IF(OR(K126="",G126=""),"",IF(S126=0,"",AC126/S126))</f>
        <v/>
      </c>
      <c r="AF126" s="43" t="str">
        <f aca="false">IF(OR(K126="",G126=""),"",IF(J126=0,"",AC126/J126))</f>
        <v/>
      </c>
      <c r="AG126" s="41" t="str">
        <f aca="false">IF(OR(K126="",G126=""),"",(J126+V126)/(1-(1+Settings!$B$10)*(IF(N126="",Settings!$B$5,N126)+IF(M126="",Settings!$B$11,M126))-IF(UPPER(O126)="Y",Settings!$B$9,0)-Settings!$B$13-Settings!$B$12)-N(L126))</f>
        <v/>
      </c>
      <c r="AH126" s="41" t="str">
        <f aca="false">IF(OR(K126="",G126=""),"",(J126+V126+Settings!$B$15)/(1-(1+Settings!$B$10)*(IF(N126="",Settings!$B$5,N126)+IF(M126="",Settings!$B$11,M126))-IF(UPPER(O126)="Y",Settings!$B$9,0)-Settings!$B$13-Settings!$B$12)-N(L126))</f>
        <v/>
      </c>
      <c r="AI126" s="46" t="str">
        <f aca="false">IF(C126="","",IF(OR(ISNUMBER(SEARCH("amazon",C126)),ISNUMBER(SEARCH("walmart",C126)),ISNUMBER(SEARCH("aliexpress",C126)),ISNUMBER(SEARCH("temu",C126))),"⚠ Retail source — not allowed","✓ Wholesale / own stock"))</f>
        <v/>
      </c>
      <c r="AJ126" s="47" t="str">
        <f aca="false">IF(OR(K126="",G126=""),"",IF(LEFT(AI126,1)="⚠","❌ SKIP",IF(AND(AC126&gt;=Settings!$B$15,AF126&gt;=Settings!$B$16,OR(R126="",N(R126)&gt;=Settings!$B$17)),"✅ GO",IF(AC126&gt;0,"⚠ CHECK","❌ SKIP"))))</f>
        <v/>
      </c>
      <c r="AK126" s="38"/>
    </row>
    <row r="127" customFormat="false" ht="15" hidden="false" customHeight="false" outlineLevel="0" collapsed="false">
      <c r="A127" s="37" t="str">
        <f aca="false">IF(B127="","",ROW()-4)</f>
        <v/>
      </c>
      <c r="B127" s="38"/>
      <c r="C127" s="39"/>
      <c r="D127" s="38"/>
      <c r="E127" s="38"/>
      <c r="F127" s="38"/>
      <c r="G127" s="40"/>
      <c r="H127" s="40"/>
      <c r="I127" s="40"/>
      <c r="J127" s="41" t="str">
        <f aca="false">IF(G127="","",G127+N(H127)+N(I127))</f>
        <v/>
      </c>
      <c r="K127" s="40"/>
      <c r="L127" s="40"/>
      <c r="M127" s="42"/>
      <c r="N127" s="42"/>
      <c r="O127" s="39"/>
      <c r="P127" s="38"/>
      <c r="Q127" s="38"/>
      <c r="R127" s="43" t="str">
        <f aca="false">IF(OR(P127="",Q127=""),"",P127/(P127+Q127))</f>
        <v/>
      </c>
      <c r="S127" s="41" t="str">
        <f aca="false">IF(OR(K127="",G127=""),"",K127+N(L127))</f>
        <v/>
      </c>
      <c r="T127" s="41" t="str">
        <f aca="false">IF(OR(K127="",G127=""),"",S127*Settings!$B$10)</f>
        <v/>
      </c>
      <c r="U127" s="41" t="str">
        <f aca="false">IF(OR(K127="",G127=""),"",(S127+T127)*IF(N127="",Settings!$B$5,N127))</f>
        <v/>
      </c>
      <c r="V127" s="41" t="str">
        <f aca="false">IF(OR(K127="",G127=""),"",IF(S127+T127&lt;=Settings!$B$8,Settings!$B$6,Settings!$B$7))</f>
        <v/>
      </c>
      <c r="W127" s="41" t="str">
        <f aca="false">IF(OR(K127="",G127=""),"",S127*IF(UPPER(O127)="Y",Settings!$B$9,0))</f>
        <v/>
      </c>
      <c r="X127" s="41" t="str">
        <f aca="false">IF(OR(K127="",G127=""),"",(S127+T127)*IF(M127="",Settings!$B$11,M127))</f>
        <v/>
      </c>
      <c r="Y127" s="41" t="str">
        <f aca="false">IF(OR(K127="",G127=""),"",U127+V127+W127+X127)</f>
        <v/>
      </c>
      <c r="Z127" s="41" t="str">
        <f aca="false">IF(OR(K127="",G127=""),"",S127-Y127)</f>
        <v/>
      </c>
      <c r="AA127" s="41" t="str">
        <f aca="false">IF(OR(K127="",G127=""),"",Z127*Settings!$B$12)</f>
        <v/>
      </c>
      <c r="AB127" s="41" t="str">
        <f aca="false">IF(OR(K127="",G127=""),"",S127*Settings!$B$13)</f>
        <v/>
      </c>
      <c r="AC127" s="44" t="str">
        <f aca="false">IF(OR(K127="",G127=""),"",Z127-AA127-AB127-J127)</f>
        <v/>
      </c>
      <c r="AD127" s="45" t="str">
        <f aca="false">IF(OR(K127="",G127=""),"",AC127*Settings!$B$14)</f>
        <v/>
      </c>
      <c r="AE127" s="43" t="str">
        <f aca="false">IF(OR(K127="",G127=""),"",IF(S127=0,"",AC127/S127))</f>
        <v/>
      </c>
      <c r="AF127" s="43" t="str">
        <f aca="false">IF(OR(K127="",G127=""),"",IF(J127=0,"",AC127/J127))</f>
        <v/>
      </c>
      <c r="AG127" s="41" t="str">
        <f aca="false">IF(OR(K127="",G127=""),"",(J127+V127)/(1-(1+Settings!$B$10)*(IF(N127="",Settings!$B$5,N127)+IF(M127="",Settings!$B$11,M127))-IF(UPPER(O127)="Y",Settings!$B$9,0)-Settings!$B$13-Settings!$B$12)-N(L127))</f>
        <v/>
      </c>
      <c r="AH127" s="41" t="str">
        <f aca="false">IF(OR(K127="",G127=""),"",(J127+V127+Settings!$B$15)/(1-(1+Settings!$B$10)*(IF(N127="",Settings!$B$5,N127)+IF(M127="",Settings!$B$11,M127))-IF(UPPER(O127)="Y",Settings!$B$9,0)-Settings!$B$13-Settings!$B$12)-N(L127))</f>
        <v/>
      </c>
      <c r="AI127" s="46" t="str">
        <f aca="false">IF(C127="","",IF(OR(ISNUMBER(SEARCH("amazon",C127)),ISNUMBER(SEARCH("walmart",C127)),ISNUMBER(SEARCH("aliexpress",C127)),ISNUMBER(SEARCH("temu",C127))),"⚠ Retail source — not allowed","✓ Wholesale / own stock"))</f>
        <v/>
      </c>
      <c r="AJ127" s="47" t="str">
        <f aca="false">IF(OR(K127="",G127=""),"",IF(LEFT(AI127,1)="⚠","❌ SKIP",IF(AND(AC127&gt;=Settings!$B$15,AF127&gt;=Settings!$B$16,OR(R127="",N(R127)&gt;=Settings!$B$17)),"✅ GO",IF(AC127&gt;0,"⚠ CHECK","❌ SKIP"))))</f>
        <v/>
      </c>
      <c r="AK127" s="38"/>
    </row>
    <row r="128" customFormat="false" ht="15" hidden="false" customHeight="false" outlineLevel="0" collapsed="false">
      <c r="A128" s="37" t="str">
        <f aca="false">IF(B128="","",ROW()-4)</f>
        <v/>
      </c>
      <c r="B128" s="38"/>
      <c r="C128" s="39"/>
      <c r="D128" s="38"/>
      <c r="E128" s="38"/>
      <c r="F128" s="38"/>
      <c r="G128" s="40"/>
      <c r="H128" s="40"/>
      <c r="I128" s="40"/>
      <c r="J128" s="41" t="str">
        <f aca="false">IF(G128="","",G128+N(H128)+N(I128))</f>
        <v/>
      </c>
      <c r="K128" s="40"/>
      <c r="L128" s="40"/>
      <c r="M128" s="42"/>
      <c r="N128" s="42"/>
      <c r="O128" s="39"/>
      <c r="P128" s="38"/>
      <c r="Q128" s="38"/>
      <c r="R128" s="43" t="str">
        <f aca="false">IF(OR(P128="",Q128=""),"",P128/(P128+Q128))</f>
        <v/>
      </c>
      <c r="S128" s="41" t="str">
        <f aca="false">IF(OR(K128="",G128=""),"",K128+N(L128))</f>
        <v/>
      </c>
      <c r="T128" s="41" t="str">
        <f aca="false">IF(OR(K128="",G128=""),"",S128*Settings!$B$10)</f>
        <v/>
      </c>
      <c r="U128" s="41" t="str">
        <f aca="false">IF(OR(K128="",G128=""),"",(S128+T128)*IF(N128="",Settings!$B$5,N128))</f>
        <v/>
      </c>
      <c r="V128" s="41" t="str">
        <f aca="false">IF(OR(K128="",G128=""),"",IF(S128+T128&lt;=Settings!$B$8,Settings!$B$6,Settings!$B$7))</f>
        <v/>
      </c>
      <c r="W128" s="41" t="str">
        <f aca="false">IF(OR(K128="",G128=""),"",S128*IF(UPPER(O128)="Y",Settings!$B$9,0))</f>
        <v/>
      </c>
      <c r="X128" s="41" t="str">
        <f aca="false">IF(OR(K128="",G128=""),"",(S128+T128)*IF(M128="",Settings!$B$11,M128))</f>
        <v/>
      </c>
      <c r="Y128" s="41" t="str">
        <f aca="false">IF(OR(K128="",G128=""),"",U128+V128+W128+X128)</f>
        <v/>
      </c>
      <c r="Z128" s="41" t="str">
        <f aca="false">IF(OR(K128="",G128=""),"",S128-Y128)</f>
        <v/>
      </c>
      <c r="AA128" s="41" t="str">
        <f aca="false">IF(OR(K128="",G128=""),"",Z128*Settings!$B$12)</f>
        <v/>
      </c>
      <c r="AB128" s="41" t="str">
        <f aca="false">IF(OR(K128="",G128=""),"",S128*Settings!$B$13)</f>
        <v/>
      </c>
      <c r="AC128" s="44" t="str">
        <f aca="false">IF(OR(K128="",G128=""),"",Z128-AA128-AB128-J128)</f>
        <v/>
      </c>
      <c r="AD128" s="45" t="str">
        <f aca="false">IF(OR(K128="",G128=""),"",AC128*Settings!$B$14)</f>
        <v/>
      </c>
      <c r="AE128" s="43" t="str">
        <f aca="false">IF(OR(K128="",G128=""),"",IF(S128=0,"",AC128/S128))</f>
        <v/>
      </c>
      <c r="AF128" s="43" t="str">
        <f aca="false">IF(OR(K128="",G128=""),"",IF(J128=0,"",AC128/J128))</f>
        <v/>
      </c>
      <c r="AG128" s="41" t="str">
        <f aca="false">IF(OR(K128="",G128=""),"",(J128+V128)/(1-(1+Settings!$B$10)*(IF(N128="",Settings!$B$5,N128)+IF(M128="",Settings!$B$11,M128))-IF(UPPER(O128)="Y",Settings!$B$9,0)-Settings!$B$13-Settings!$B$12)-N(L128))</f>
        <v/>
      </c>
      <c r="AH128" s="41" t="str">
        <f aca="false">IF(OR(K128="",G128=""),"",(J128+V128+Settings!$B$15)/(1-(1+Settings!$B$10)*(IF(N128="",Settings!$B$5,N128)+IF(M128="",Settings!$B$11,M128))-IF(UPPER(O128)="Y",Settings!$B$9,0)-Settings!$B$13-Settings!$B$12)-N(L128))</f>
        <v/>
      </c>
      <c r="AI128" s="46" t="str">
        <f aca="false">IF(C128="","",IF(OR(ISNUMBER(SEARCH("amazon",C128)),ISNUMBER(SEARCH("walmart",C128)),ISNUMBER(SEARCH("aliexpress",C128)),ISNUMBER(SEARCH("temu",C128))),"⚠ Retail source — not allowed","✓ Wholesale / own stock"))</f>
        <v/>
      </c>
      <c r="AJ128" s="47" t="str">
        <f aca="false">IF(OR(K128="",G128=""),"",IF(LEFT(AI128,1)="⚠","❌ SKIP",IF(AND(AC128&gt;=Settings!$B$15,AF128&gt;=Settings!$B$16,OR(R128="",N(R128)&gt;=Settings!$B$17)),"✅ GO",IF(AC128&gt;0,"⚠ CHECK","❌ SKIP"))))</f>
        <v/>
      </c>
      <c r="AK128" s="38"/>
    </row>
    <row r="129" customFormat="false" ht="15" hidden="false" customHeight="false" outlineLevel="0" collapsed="false">
      <c r="A129" s="37" t="str">
        <f aca="false">IF(B129="","",ROW()-4)</f>
        <v/>
      </c>
      <c r="B129" s="38"/>
      <c r="C129" s="39"/>
      <c r="D129" s="38"/>
      <c r="E129" s="38"/>
      <c r="F129" s="38"/>
      <c r="G129" s="40"/>
      <c r="H129" s="40"/>
      <c r="I129" s="40"/>
      <c r="J129" s="41" t="str">
        <f aca="false">IF(G129="","",G129+N(H129)+N(I129))</f>
        <v/>
      </c>
      <c r="K129" s="40"/>
      <c r="L129" s="40"/>
      <c r="M129" s="42"/>
      <c r="N129" s="42"/>
      <c r="O129" s="39"/>
      <c r="P129" s="38"/>
      <c r="Q129" s="38"/>
      <c r="R129" s="43" t="str">
        <f aca="false">IF(OR(P129="",Q129=""),"",P129/(P129+Q129))</f>
        <v/>
      </c>
      <c r="S129" s="41" t="str">
        <f aca="false">IF(OR(K129="",G129=""),"",K129+N(L129))</f>
        <v/>
      </c>
      <c r="T129" s="41" t="str">
        <f aca="false">IF(OR(K129="",G129=""),"",S129*Settings!$B$10)</f>
        <v/>
      </c>
      <c r="U129" s="41" t="str">
        <f aca="false">IF(OR(K129="",G129=""),"",(S129+T129)*IF(N129="",Settings!$B$5,N129))</f>
        <v/>
      </c>
      <c r="V129" s="41" t="str">
        <f aca="false">IF(OR(K129="",G129=""),"",IF(S129+T129&lt;=Settings!$B$8,Settings!$B$6,Settings!$B$7))</f>
        <v/>
      </c>
      <c r="W129" s="41" t="str">
        <f aca="false">IF(OR(K129="",G129=""),"",S129*IF(UPPER(O129)="Y",Settings!$B$9,0))</f>
        <v/>
      </c>
      <c r="X129" s="41" t="str">
        <f aca="false">IF(OR(K129="",G129=""),"",(S129+T129)*IF(M129="",Settings!$B$11,M129))</f>
        <v/>
      </c>
      <c r="Y129" s="41" t="str">
        <f aca="false">IF(OR(K129="",G129=""),"",U129+V129+W129+X129)</f>
        <v/>
      </c>
      <c r="Z129" s="41" t="str">
        <f aca="false">IF(OR(K129="",G129=""),"",S129-Y129)</f>
        <v/>
      </c>
      <c r="AA129" s="41" t="str">
        <f aca="false">IF(OR(K129="",G129=""),"",Z129*Settings!$B$12)</f>
        <v/>
      </c>
      <c r="AB129" s="41" t="str">
        <f aca="false">IF(OR(K129="",G129=""),"",S129*Settings!$B$13)</f>
        <v/>
      </c>
      <c r="AC129" s="44" t="str">
        <f aca="false">IF(OR(K129="",G129=""),"",Z129-AA129-AB129-J129)</f>
        <v/>
      </c>
      <c r="AD129" s="45" t="str">
        <f aca="false">IF(OR(K129="",G129=""),"",AC129*Settings!$B$14)</f>
        <v/>
      </c>
      <c r="AE129" s="43" t="str">
        <f aca="false">IF(OR(K129="",G129=""),"",IF(S129=0,"",AC129/S129))</f>
        <v/>
      </c>
      <c r="AF129" s="43" t="str">
        <f aca="false">IF(OR(K129="",G129=""),"",IF(J129=0,"",AC129/J129))</f>
        <v/>
      </c>
      <c r="AG129" s="41" t="str">
        <f aca="false">IF(OR(K129="",G129=""),"",(J129+V129)/(1-(1+Settings!$B$10)*(IF(N129="",Settings!$B$5,N129)+IF(M129="",Settings!$B$11,M129))-IF(UPPER(O129)="Y",Settings!$B$9,0)-Settings!$B$13-Settings!$B$12)-N(L129))</f>
        <v/>
      </c>
      <c r="AH129" s="41" t="str">
        <f aca="false">IF(OR(K129="",G129=""),"",(J129+V129+Settings!$B$15)/(1-(1+Settings!$B$10)*(IF(N129="",Settings!$B$5,N129)+IF(M129="",Settings!$B$11,M129))-IF(UPPER(O129)="Y",Settings!$B$9,0)-Settings!$B$13-Settings!$B$12)-N(L129))</f>
        <v/>
      </c>
      <c r="AI129" s="46" t="str">
        <f aca="false">IF(C129="","",IF(OR(ISNUMBER(SEARCH("amazon",C129)),ISNUMBER(SEARCH("walmart",C129)),ISNUMBER(SEARCH("aliexpress",C129)),ISNUMBER(SEARCH("temu",C129))),"⚠ Retail source — not allowed","✓ Wholesale / own stock"))</f>
        <v/>
      </c>
      <c r="AJ129" s="47" t="str">
        <f aca="false">IF(OR(K129="",G129=""),"",IF(LEFT(AI129,1)="⚠","❌ SKIP",IF(AND(AC129&gt;=Settings!$B$15,AF129&gt;=Settings!$B$16,OR(R129="",N(R129)&gt;=Settings!$B$17)),"✅ GO",IF(AC129&gt;0,"⚠ CHECK","❌ SKIP"))))</f>
        <v/>
      </c>
      <c r="AK129" s="38"/>
    </row>
    <row r="130" customFormat="false" ht="15" hidden="false" customHeight="false" outlineLevel="0" collapsed="false">
      <c r="A130" s="37" t="str">
        <f aca="false">IF(B130="","",ROW()-4)</f>
        <v/>
      </c>
      <c r="B130" s="38"/>
      <c r="C130" s="39"/>
      <c r="D130" s="38"/>
      <c r="E130" s="38"/>
      <c r="F130" s="38"/>
      <c r="G130" s="40"/>
      <c r="H130" s="40"/>
      <c r="I130" s="40"/>
      <c r="J130" s="41" t="str">
        <f aca="false">IF(G130="","",G130+N(H130)+N(I130))</f>
        <v/>
      </c>
      <c r="K130" s="40"/>
      <c r="L130" s="40"/>
      <c r="M130" s="42"/>
      <c r="N130" s="42"/>
      <c r="O130" s="39"/>
      <c r="P130" s="38"/>
      <c r="Q130" s="38"/>
      <c r="R130" s="43" t="str">
        <f aca="false">IF(OR(P130="",Q130=""),"",P130/(P130+Q130))</f>
        <v/>
      </c>
      <c r="S130" s="41" t="str">
        <f aca="false">IF(OR(K130="",G130=""),"",K130+N(L130))</f>
        <v/>
      </c>
      <c r="T130" s="41" t="str">
        <f aca="false">IF(OR(K130="",G130=""),"",S130*Settings!$B$10)</f>
        <v/>
      </c>
      <c r="U130" s="41" t="str">
        <f aca="false">IF(OR(K130="",G130=""),"",(S130+T130)*IF(N130="",Settings!$B$5,N130))</f>
        <v/>
      </c>
      <c r="V130" s="41" t="str">
        <f aca="false">IF(OR(K130="",G130=""),"",IF(S130+T130&lt;=Settings!$B$8,Settings!$B$6,Settings!$B$7))</f>
        <v/>
      </c>
      <c r="W130" s="41" t="str">
        <f aca="false">IF(OR(K130="",G130=""),"",S130*IF(UPPER(O130)="Y",Settings!$B$9,0))</f>
        <v/>
      </c>
      <c r="X130" s="41" t="str">
        <f aca="false">IF(OR(K130="",G130=""),"",(S130+T130)*IF(M130="",Settings!$B$11,M130))</f>
        <v/>
      </c>
      <c r="Y130" s="41" t="str">
        <f aca="false">IF(OR(K130="",G130=""),"",U130+V130+W130+X130)</f>
        <v/>
      </c>
      <c r="Z130" s="41" t="str">
        <f aca="false">IF(OR(K130="",G130=""),"",S130-Y130)</f>
        <v/>
      </c>
      <c r="AA130" s="41" t="str">
        <f aca="false">IF(OR(K130="",G130=""),"",Z130*Settings!$B$12)</f>
        <v/>
      </c>
      <c r="AB130" s="41" t="str">
        <f aca="false">IF(OR(K130="",G130=""),"",S130*Settings!$B$13)</f>
        <v/>
      </c>
      <c r="AC130" s="44" t="str">
        <f aca="false">IF(OR(K130="",G130=""),"",Z130-AA130-AB130-J130)</f>
        <v/>
      </c>
      <c r="AD130" s="45" t="str">
        <f aca="false">IF(OR(K130="",G130=""),"",AC130*Settings!$B$14)</f>
        <v/>
      </c>
      <c r="AE130" s="43" t="str">
        <f aca="false">IF(OR(K130="",G130=""),"",IF(S130=0,"",AC130/S130))</f>
        <v/>
      </c>
      <c r="AF130" s="43" t="str">
        <f aca="false">IF(OR(K130="",G130=""),"",IF(J130=0,"",AC130/J130))</f>
        <v/>
      </c>
      <c r="AG130" s="41" t="str">
        <f aca="false">IF(OR(K130="",G130=""),"",(J130+V130)/(1-(1+Settings!$B$10)*(IF(N130="",Settings!$B$5,N130)+IF(M130="",Settings!$B$11,M130))-IF(UPPER(O130)="Y",Settings!$B$9,0)-Settings!$B$13-Settings!$B$12)-N(L130))</f>
        <v/>
      </c>
      <c r="AH130" s="41" t="str">
        <f aca="false">IF(OR(K130="",G130=""),"",(J130+V130+Settings!$B$15)/(1-(1+Settings!$B$10)*(IF(N130="",Settings!$B$5,N130)+IF(M130="",Settings!$B$11,M130))-IF(UPPER(O130)="Y",Settings!$B$9,0)-Settings!$B$13-Settings!$B$12)-N(L130))</f>
        <v/>
      </c>
      <c r="AI130" s="46" t="str">
        <f aca="false">IF(C130="","",IF(OR(ISNUMBER(SEARCH("amazon",C130)),ISNUMBER(SEARCH("walmart",C130)),ISNUMBER(SEARCH("aliexpress",C130)),ISNUMBER(SEARCH("temu",C130))),"⚠ Retail source — not allowed","✓ Wholesale / own stock"))</f>
        <v/>
      </c>
      <c r="AJ130" s="47" t="str">
        <f aca="false">IF(OR(K130="",G130=""),"",IF(LEFT(AI130,1)="⚠","❌ SKIP",IF(AND(AC130&gt;=Settings!$B$15,AF130&gt;=Settings!$B$16,OR(R130="",N(R130)&gt;=Settings!$B$17)),"✅ GO",IF(AC130&gt;0,"⚠ CHECK","❌ SKIP"))))</f>
        <v/>
      </c>
      <c r="AK130" s="38"/>
    </row>
    <row r="131" customFormat="false" ht="15" hidden="false" customHeight="false" outlineLevel="0" collapsed="false">
      <c r="A131" s="37" t="str">
        <f aca="false">IF(B131="","",ROW()-4)</f>
        <v/>
      </c>
      <c r="B131" s="38"/>
      <c r="C131" s="39"/>
      <c r="D131" s="38"/>
      <c r="E131" s="38"/>
      <c r="F131" s="38"/>
      <c r="G131" s="40"/>
      <c r="H131" s="40"/>
      <c r="I131" s="40"/>
      <c r="J131" s="41" t="str">
        <f aca="false">IF(G131="","",G131+N(H131)+N(I131))</f>
        <v/>
      </c>
      <c r="K131" s="40"/>
      <c r="L131" s="40"/>
      <c r="M131" s="42"/>
      <c r="N131" s="42"/>
      <c r="O131" s="39"/>
      <c r="P131" s="38"/>
      <c r="Q131" s="38"/>
      <c r="R131" s="43" t="str">
        <f aca="false">IF(OR(P131="",Q131=""),"",P131/(P131+Q131))</f>
        <v/>
      </c>
      <c r="S131" s="41" t="str">
        <f aca="false">IF(OR(K131="",G131=""),"",K131+N(L131))</f>
        <v/>
      </c>
      <c r="T131" s="41" t="str">
        <f aca="false">IF(OR(K131="",G131=""),"",S131*Settings!$B$10)</f>
        <v/>
      </c>
      <c r="U131" s="41" t="str">
        <f aca="false">IF(OR(K131="",G131=""),"",(S131+T131)*IF(N131="",Settings!$B$5,N131))</f>
        <v/>
      </c>
      <c r="V131" s="41" t="str">
        <f aca="false">IF(OR(K131="",G131=""),"",IF(S131+T131&lt;=Settings!$B$8,Settings!$B$6,Settings!$B$7))</f>
        <v/>
      </c>
      <c r="W131" s="41" t="str">
        <f aca="false">IF(OR(K131="",G131=""),"",S131*IF(UPPER(O131)="Y",Settings!$B$9,0))</f>
        <v/>
      </c>
      <c r="X131" s="41" t="str">
        <f aca="false">IF(OR(K131="",G131=""),"",(S131+T131)*IF(M131="",Settings!$B$11,M131))</f>
        <v/>
      </c>
      <c r="Y131" s="41" t="str">
        <f aca="false">IF(OR(K131="",G131=""),"",U131+V131+W131+X131)</f>
        <v/>
      </c>
      <c r="Z131" s="41" t="str">
        <f aca="false">IF(OR(K131="",G131=""),"",S131-Y131)</f>
        <v/>
      </c>
      <c r="AA131" s="41" t="str">
        <f aca="false">IF(OR(K131="",G131=""),"",Z131*Settings!$B$12)</f>
        <v/>
      </c>
      <c r="AB131" s="41" t="str">
        <f aca="false">IF(OR(K131="",G131=""),"",S131*Settings!$B$13)</f>
        <v/>
      </c>
      <c r="AC131" s="44" t="str">
        <f aca="false">IF(OR(K131="",G131=""),"",Z131-AA131-AB131-J131)</f>
        <v/>
      </c>
      <c r="AD131" s="45" t="str">
        <f aca="false">IF(OR(K131="",G131=""),"",AC131*Settings!$B$14)</f>
        <v/>
      </c>
      <c r="AE131" s="43" t="str">
        <f aca="false">IF(OR(K131="",G131=""),"",IF(S131=0,"",AC131/S131))</f>
        <v/>
      </c>
      <c r="AF131" s="43" t="str">
        <f aca="false">IF(OR(K131="",G131=""),"",IF(J131=0,"",AC131/J131))</f>
        <v/>
      </c>
      <c r="AG131" s="41" t="str">
        <f aca="false">IF(OR(K131="",G131=""),"",(J131+V131)/(1-(1+Settings!$B$10)*(IF(N131="",Settings!$B$5,N131)+IF(M131="",Settings!$B$11,M131))-IF(UPPER(O131)="Y",Settings!$B$9,0)-Settings!$B$13-Settings!$B$12)-N(L131))</f>
        <v/>
      </c>
      <c r="AH131" s="41" t="str">
        <f aca="false">IF(OR(K131="",G131=""),"",(J131+V131+Settings!$B$15)/(1-(1+Settings!$B$10)*(IF(N131="",Settings!$B$5,N131)+IF(M131="",Settings!$B$11,M131))-IF(UPPER(O131)="Y",Settings!$B$9,0)-Settings!$B$13-Settings!$B$12)-N(L131))</f>
        <v/>
      </c>
      <c r="AI131" s="46" t="str">
        <f aca="false">IF(C131="","",IF(OR(ISNUMBER(SEARCH("amazon",C131)),ISNUMBER(SEARCH("walmart",C131)),ISNUMBER(SEARCH("aliexpress",C131)),ISNUMBER(SEARCH("temu",C131))),"⚠ Retail source — not allowed","✓ Wholesale / own stock"))</f>
        <v/>
      </c>
      <c r="AJ131" s="47" t="str">
        <f aca="false">IF(OR(K131="",G131=""),"",IF(LEFT(AI131,1)="⚠","❌ SKIP",IF(AND(AC131&gt;=Settings!$B$15,AF131&gt;=Settings!$B$16,OR(R131="",N(R131)&gt;=Settings!$B$17)),"✅ GO",IF(AC131&gt;0,"⚠ CHECK","❌ SKIP"))))</f>
        <v/>
      </c>
      <c r="AK131" s="38"/>
    </row>
    <row r="132" customFormat="false" ht="15" hidden="false" customHeight="false" outlineLevel="0" collapsed="false">
      <c r="A132" s="37" t="str">
        <f aca="false">IF(B132="","",ROW()-4)</f>
        <v/>
      </c>
      <c r="B132" s="38"/>
      <c r="C132" s="39"/>
      <c r="D132" s="38"/>
      <c r="E132" s="38"/>
      <c r="F132" s="38"/>
      <c r="G132" s="40"/>
      <c r="H132" s="40"/>
      <c r="I132" s="40"/>
      <c r="J132" s="41" t="str">
        <f aca="false">IF(G132="","",G132+N(H132)+N(I132))</f>
        <v/>
      </c>
      <c r="K132" s="40"/>
      <c r="L132" s="40"/>
      <c r="M132" s="42"/>
      <c r="N132" s="42"/>
      <c r="O132" s="39"/>
      <c r="P132" s="38"/>
      <c r="Q132" s="38"/>
      <c r="R132" s="43" t="str">
        <f aca="false">IF(OR(P132="",Q132=""),"",P132/(P132+Q132))</f>
        <v/>
      </c>
      <c r="S132" s="41" t="str">
        <f aca="false">IF(OR(K132="",G132=""),"",K132+N(L132))</f>
        <v/>
      </c>
      <c r="T132" s="41" t="str">
        <f aca="false">IF(OR(K132="",G132=""),"",S132*Settings!$B$10)</f>
        <v/>
      </c>
      <c r="U132" s="41" t="str">
        <f aca="false">IF(OR(K132="",G132=""),"",(S132+T132)*IF(N132="",Settings!$B$5,N132))</f>
        <v/>
      </c>
      <c r="V132" s="41" t="str">
        <f aca="false">IF(OR(K132="",G132=""),"",IF(S132+T132&lt;=Settings!$B$8,Settings!$B$6,Settings!$B$7))</f>
        <v/>
      </c>
      <c r="W132" s="41" t="str">
        <f aca="false">IF(OR(K132="",G132=""),"",S132*IF(UPPER(O132)="Y",Settings!$B$9,0))</f>
        <v/>
      </c>
      <c r="X132" s="41" t="str">
        <f aca="false">IF(OR(K132="",G132=""),"",(S132+T132)*IF(M132="",Settings!$B$11,M132))</f>
        <v/>
      </c>
      <c r="Y132" s="41" t="str">
        <f aca="false">IF(OR(K132="",G132=""),"",U132+V132+W132+X132)</f>
        <v/>
      </c>
      <c r="Z132" s="41" t="str">
        <f aca="false">IF(OR(K132="",G132=""),"",S132-Y132)</f>
        <v/>
      </c>
      <c r="AA132" s="41" t="str">
        <f aca="false">IF(OR(K132="",G132=""),"",Z132*Settings!$B$12)</f>
        <v/>
      </c>
      <c r="AB132" s="41" t="str">
        <f aca="false">IF(OR(K132="",G132=""),"",S132*Settings!$B$13)</f>
        <v/>
      </c>
      <c r="AC132" s="44" t="str">
        <f aca="false">IF(OR(K132="",G132=""),"",Z132-AA132-AB132-J132)</f>
        <v/>
      </c>
      <c r="AD132" s="45" t="str">
        <f aca="false">IF(OR(K132="",G132=""),"",AC132*Settings!$B$14)</f>
        <v/>
      </c>
      <c r="AE132" s="43" t="str">
        <f aca="false">IF(OR(K132="",G132=""),"",IF(S132=0,"",AC132/S132))</f>
        <v/>
      </c>
      <c r="AF132" s="43" t="str">
        <f aca="false">IF(OR(K132="",G132=""),"",IF(J132=0,"",AC132/J132))</f>
        <v/>
      </c>
      <c r="AG132" s="41" t="str">
        <f aca="false">IF(OR(K132="",G132=""),"",(J132+V132)/(1-(1+Settings!$B$10)*(IF(N132="",Settings!$B$5,N132)+IF(M132="",Settings!$B$11,M132))-IF(UPPER(O132)="Y",Settings!$B$9,0)-Settings!$B$13-Settings!$B$12)-N(L132))</f>
        <v/>
      </c>
      <c r="AH132" s="41" t="str">
        <f aca="false">IF(OR(K132="",G132=""),"",(J132+V132+Settings!$B$15)/(1-(1+Settings!$B$10)*(IF(N132="",Settings!$B$5,N132)+IF(M132="",Settings!$B$11,M132))-IF(UPPER(O132)="Y",Settings!$B$9,0)-Settings!$B$13-Settings!$B$12)-N(L132))</f>
        <v/>
      </c>
      <c r="AI132" s="46" t="str">
        <f aca="false">IF(C132="","",IF(OR(ISNUMBER(SEARCH("amazon",C132)),ISNUMBER(SEARCH("walmart",C132)),ISNUMBER(SEARCH("aliexpress",C132)),ISNUMBER(SEARCH("temu",C132))),"⚠ Retail source — not allowed","✓ Wholesale / own stock"))</f>
        <v/>
      </c>
      <c r="AJ132" s="47" t="str">
        <f aca="false">IF(OR(K132="",G132=""),"",IF(LEFT(AI132,1)="⚠","❌ SKIP",IF(AND(AC132&gt;=Settings!$B$15,AF132&gt;=Settings!$B$16,OR(R132="",N(R132)&gt;=Settings!$B$17)),"✅ GO",IF(AC132&gt;0,"⚠ CHECK","❌ SKIP"))))</f>
        <v/>
      </c>
      <c r="AK132" s="38"/>
    </row>
    <row r="133" customFormat="false" ht="15" hidden="false" customHeight="false" outlineLevel="0" collapsed="false">
      <c r="A133" s="37" t="str">
        <f aca="false">IF(B133="","",ROW()-4)</f>
        <v/>
      </c>
      <c r="B133" s="38"/>
      <c r="C133" s="39"/>
      <c r="D133" s="38"/>
      <c r="E133" s="38"/>
      <c r="F133" s="38"/>
      <c r="G133" s="40"/>
      <c r="H133" s="40"/>
      <c r="I133" s="40"/>
      <c r="J133" s="41" t="str">
        <f aca="false">IF(G133="","",G133+N(H133)+N(I133))</f>
        <v/>
      </c>
      <c r="K133" s="40"/>
      <c r="L133" s="40"/>
      <c r="M133" s="42"/>
      <c r="N133" s="42"/>
      <c r="O133" s="39"/>
      <c r="P133" s="38"/>
      <c r="Q133" s="38"/>
      <c r="R133" s="43" t="str">
        <f aca="false">IF(OR(P133="",Q133=""),"",P133/(P133+Q133))</f>
        <v/>
      </c>
      <c r="S133" s="41" t="str">
        <f aca="false">IF(OR(K133="",G133=""),"",K133+N(L133))</f>
        <v/>
      </c>
      <c r="T133" s="41" t="str">
        <f aca="false">IF(OR(K133="",G133=""),"",S133*Settings!$B$10)</f>
        <v/>
      </c>
      <c r="U133" s="41" t="str">
        <f aca="false">IF(OR(K133="",G133=""),"",(S133+T133)*IF(N133="",Settings!$B$5,N133))</f>
        <v/>
      </c>
      <c r="V133" s="41" t="str">
        <f aca="false">IF(OR(K133="",G133=""),"",IF(S133+T133&lt;=Settings!$B$8,Settings!$B$6,Settings!$B$7))</f>
        <v/>
      </c>
      <c r="W133" s="41" t="str">
        <f aca="false">IF(OR(K133="",G133=""),"",S133*IF(UPPER(O133)="Y",Settings!$B$9,0))</f>
        <v/>
      </c>
      <c r="X133" s="41" t="str">
        <f aca="false">IF(OR(K133="",G133=""),"",(S133+T133)*IF(M133="",Settings!$B$11,M133))</f>
        <v/>
      </c>
      <c r="Y133" s="41" t="str">
        <f aca="false">IF(OR(K133="",G133=""),"",U133+V133+W133+X133)</f>
        <v/>
      </c>
      <c r="Z133" s="41" t="str">
        <f aca="false">IF(OR(K133="",G133=""),"",S133-Y133)</f>
        <v/>
      </c>
      <c r="AA133" s="41" t="str">
        <f aca="false">IF(OR(K133="",G133=""),"",Z133*Settings!$B$12)</f>
        <v/>
      </c>
      <c r="AB133" s="41" t="str">
        <f aca="false">IF(OR(K133="",G133=""),"",S133*Settings!$B$13)</f>
        <v/>
      </c>
      <c r="AC133" s="44" t="str">
        <f aca="false">IF(OR(K133="",G133=""),"",Z133-AA133-AB133-J133)</f>
        <v/>
      </c>
      <c r="AD133" s="45" t="str">
        <f aca="false">IF(OR(K133="",G133=""),"",AC133*Settings!$B$14)</f>
        <v/>
      </c>
      <c r="AE133" s="43" t="str">
        <f aca="false">IF(OR(K133="",G133=""),"",IF(S133=0,"",AC133/S133))</f>
        <v/>
      </c>
      <c r="AF133" s="43" t="str">
        <f aca="false">IF(OR(K133="",G133=""),"",IF(J133=0,"",AC133/J133))</f>
        <v/>
      </c>
      <c r="AG133" s="41" t="str">
        <f aca="false">IF(OR(K133="",G133=""),"",(J133+V133)/(1-(1+Settings!$B$10)*(IF(N133="",Settings!$B$5,N133)+IF(M133="",Settings!$B$11,M133))-IF(UPPER(O133)="Y",Settings!$B$9,0)-Settings!$B$13-Settings!$B$12)-N(L133))</f>
        <v/>
      </c>
      <c r="AH133" s="41" t="str">
        <f aca="false">IF(OR(K133="",G133=""),"",(J133+V133+Settings!$B$15)/(1-(1+Settings!$B$10)*(IF(N133="",Settings!$B$5,N133)+IF(M133="",Settings!$B$11,M133))-IF(UPPER(O133)="Y",Settings!$B$9,0)-Settings!$B$13-Settings!$B$12)-N(L133))</f>
        <v/>
      </c>
      <c r="AI133" s="46" t="str">
        <f aca="false">IF(C133="","",IF(OR(ISNUMBER(SEARCH("amazon",C133)),ISNUMBER(SEARCH("walmart",C133)),ISNUMBER(SEARCH("aliexpress",C133)),ISNUMBER(SEARCH("temu",C133))),"⚠ Retail source — not allowed","✓ Wholesale / own stock"))</f>
        <v/>
      </c>
      <c r="AJ133" s="47" t="str">
        <f aca="false">IF(OR(K133="",G133=""),"",IF(LEFT(AI133,1)="⚠","❌ SKIP",IF(AND(AC133&gt;=Settings!$B$15,AF133&gt;=Settings!$B$16,OR(R133="",N(R133)&gt;=Settings!$B$17)),"✅ GO",IF(AC133&gt;0,"⚠ CHECK","❌ SKIP"))))</f>
        <v/>
      </c>
      <c r="AK133" s="38"/>
    </row>
    <row r="134" customFormat="false" ht="15" hidden="false" customHeight="false" outlineLevel="0" collapsed="false">
      <c r="A134" s="37" t="str">
        <f aca="false">IF(B134="","",ROW()-4)</f>
        <v/>
      </c>
      <c r="B134" s="38"/>
      <c r="C134" s="39"/>
      <c r="D134" s="38"/>
      <c r="E134" s="38"/>
      <c r="F134" s="38"/>
      <c r="G134" s="40"/>
      <c r="H134" s="40"/>
      <c r="I134" s="40"/>
      <c r="J134" s="41" t="str">
        <f aca="false">IF(G134="","",G134+N(H134)+N(I134))</f>
        <v/>
      </c>
      <c r="K134" s="40"/>
      <c r="L134" s="40"/>
      <c r="M134" s="42"/>
      <c r="N134" s="42"/>
      <c r="O134" s="39"/>
      <c r="P134" s="38"/>
      <c r="Q134" s="38"/>
      <c r="R134" s="43" t="str">
        <f aca="false">IF(OR(P134="",Q134=""),"",P134/(P134+Q134))</f>
        <v/>
      </c>
      <c r="S134" s="41" t="str">
        <f aca="false">IF(OR(K134="",G134=""),"",K134+N(L134))</f>
        <v/>
      </c>
      <c r="T134" s="41" t="str">
        <f aca="false">IF(OR(K134="",G134=""),"",S134*Settings!$B$10)</f>
        <v/>
      </c>
      <c r="U134" s="41" t="str">
        <f aca="false">IF(OR(K134="",G134=""),"",(S134+T134)*IF(N134="",Settings!$B$5,N134))</f>
        <v/>
      </c>
      <c r="V134" s="41" t="str">
        <f aca="false">IF(OR(K134="",G134=""),"",IF(S134+T134&lt;=Settings!$B$8,Settings!$B$6,Settings!$B$7))</f>
        <v/>
      </c>
      <c r="W134" s="41" t="str">
        <f aca="false">IF(OR(K134="",G134=""),"",S134*IF(UPPER(O134)="Y",Settings!$B$9,0))</f>
        <v/>
      </c>
      <c r="X134" s="41" t="str">
        <f aca="false">IF(OR(K134="",G134=""),"",(S134+T134)*IF(M134="",Settings!$B$11,M134))</f>
        <v/>
      </c>
      <c r="Y134" s="41" t="str">
        <f aca="false">IF(OR(K134="",G134=""),"",U134+V134+W134+X134)</f>
        <v/>
      </c>
      <c r="Z134" s="41" t="str">
        <f aca="false">IF(OR(K134="",G134=""),"",S134-Y134)</f>
        <v/>
      </c>
      <c r="AA134" s="41" t="str">
        <f aca="false">IF(OR(K134="",G134=""),"",Z134*Settings!$B$12)</f>
        <v/>
      </c>
      <c r="AB134" s="41" t="str">
        <f aca="false">IF(OR(K134="",G134=""),"",S134*Settings!$B$13)</f>
        <v/>
      </c>
      <c r="AC134" s="44" t="str">
        <f aca="false">IF(OR(K134="",G134=""),"",Z134-AA134-AB134-J134)</f>
        <v/>
      </c>
      <c r="AD134" s="45" t="str">
        <f aca="false">IF(OR(K134="",G134=""),"",AC134*Settings!$B$14)</f>
        <v/>
      </c>
      <c r="AE134" s="43" t="str">
        <f aca="false">IF(OR(K134="",G134=""),"",IF(S134=0,"",AC134/S134))</f>
        <v/>
      </c>
      <c r="AF134" s="43" t="str">
        <f aca="false">IF(OR(K134="",G134=""),"",IF(J134=0,"",AC134/J134))</f>
        <v/>
      </c>
      <c r="AG134" s="41" t="str">
        <f aca="false">IF(OR(K134="",G134=""),"",(J134+V134)/(1-(1+Settings!$B$10)*(IF(N134="",Settings!$B$5,N134)+IF(M134="",Settings!$B$11,M134))-IF(UPPER(O134)="Y",Settings!$B$9,0)-Settings!$B$13-Settings!$B$12)-N(L134))</f>
        <v/>
      </c>
      <c r="AH134" s="41" t="str">
        <f aca="false">IF(OR(K134="",G134=""),"",(J134+V134+Settings!$B$15)/(1-(1+Settings!$B$10)*(IF(N134="",Settings!$B$5,N134)+IF(M134="",Settings!$B$11,M134))-IF(UPPER(O134)="Y",Settings!$B$9,0)-Settings!$B$13-Settings!$B$12)-N(L134))</f>
        <v/>
      </c>
      <c r="AI134" s="46" t="str">
        <f aca="false">IF(C134="","",IF(OR(ISNUMBER(SEARCH("amazon",C134)),ISNUMBER(SEARCH("walmart",C134)),ISNUMBER(SEARCH("aliexpress",C134)),ISNUMBER(SEARCH("temu",C134))),"⚠ Retail source — not allowed","✓ Wholesale / own stock"))</f>
        <v/>
      </c>
      <c r="AJ134" s="47" t="str">
        <f aca="false">IF(OR(K134="",G134=""),"",IF(LEFT(AI134,1)="⚠","❌ SKIP",IF(AND(AC134&gt;=Settings!$B$15,AF134&gt;=Settings!$B$16,OR(R134="",N(R134)&gt;=Settings!$B$17)),"✅ GO",IF(AC134&gt;0,"⚠ CHECK","❌ SKIP"))))</f>
        <v/>
      </c>
      <c r="AK134" s="38"/>
    </row>
    <row r="135" customFormat="false" ht="15" hidden="false" customHeight="false" outlineLevel="0" collapsed="false">
      <c r="A135" s="37" t="str">
        <f aca="false">IF(B135="","",ROW()-4)</f>
        <v/>
      </c>
      <c r="B135" s="38"/>
      <c r="C135" s="39"/>
      <c r="D135" s="38"/>
      <c r="E135" s="38"/>
      <c r="F135" s="38"/>
      <c r="G135" s="40"/>
      <c r="H135" s="40"/>
      <c r="I135" s="40"/>
      <c r="J135" s="41" t="str">
        <f aca="false">IF(G135="","",G135+N(H135)+N(I135))</f>
        <v/>
      </c>
      <c r="K135" s="40"/>
      <c r="L135" s="40"/>
      <c r="M135" s="42"/>
      <c r="N135" s="42"/>
      <c r="O135" s="39"/>
      <c r="P135" s="38"/>
      <c r="Q135" s="38"/>
      <c r="R135" s="43" t="str">
        <f aca="false">IF(OR(P135="",Q135=""),"",P135/(P135+Q135))</f>
        <v/>
      </c>
      <c r="S135" s="41" t="str">
        <f aca="false">IF(OR(K135="",G135=""),"",K135+N(L135))</f>
        <v/>
      </c>
      <c r="T135" s="41" t="str">
        <f aca="false">IF(OR(K135="",G135=""),"",S135*Settings!$B$10)</f>
        <v/>
      </c>
      <c r="U135" s="41" t="str">
        <f aca="false">IF(OR(K135="",G135=""),"",(S135+T135)*IF(N135="",Settings!$B$5,N135))</f>
        <v/>
      </c>
      <c r="V135" s="41" t="str">
        <f aca="false">IF(OR(K135="",G135=""),"",IF(S135+T135&lt;=Settings!$B$8,Settings!$B$6,Settings!$B$7))</f>
        <v/>
      </c>
      <c r="W135" s="41" t="str">
        <f aca="false">IF(OR(K135="",G135=""),"",S135*IF(UPPER(O135)="Y",Settings!$B$9,0))</f>
        <v/>
      </c>
      <c r="X135" s="41" t="str">
        <f aca="false">IF(OR(K135="",G135=""),"",(S135+T135)*IF(M135="",Settings!$B$11,M135))</f>
        <v/>
      </c>
      <c r="Y135" s="41" t="str">
        <f aca="false">IF(OR(K135="",G135=""),"",U135+V135+W135+X135)</f>
        <v/>
      </c>
      <c r="Z135" s="41" t="str">
        <f aca="false">IF(OR(K135="",G135=""),"",S135-Y135)</f>
        <v/>
      </c>
      <c r="AA135" s="41" t="str">
        <f aca="false">IF(OR(K135="",G135=""),"",Z135*Settings!$B$12)</f>
        <v/>
      </c>
      <c r="AB135" s="41" t="str">
        <f aca="false">IF(OR(K135="",G135=""),"",S135*Settings!$B$13)</f>
        <v/>
      </c>
      <c r="AC135" s="44" t="str">
        <f aca="false">IF(OR(K135="",G135=""),"",Z135-AA135-AB135-J135)</f>
        <v/>
      </c>
      <c r="AD135" s="45" t="str">
        <f aca="false">IF(OR(K135="",G135=""),"",AC135*Settings!$B$14)</f>
        <v/>
      </c>
      <c r="AE135" s="43" t="str">
        <f aca="false">IF(OR(K135="",G135=""),"",IF(S135=0,"",AC135/S135))</f>
        <v/>
      </c>
      <c r="AF135" s="43" t="str">
        <f aca="false">IF(OR(K135="",G135=""),"",IF(J135=0,"",AC135/J135))</f>
        <v/>
      </c>
      <c r="AG135" s="41" t="str">
        <f aca="false">IF(OR(K135="",G135=""),"",(J135+V135)/(1-(1+Settings!$B$10)*(IF(N135="",Settings!$B$5,N135)+IF(M135="",Settings!$B$11,M135))-IF(UPPER(O135)="Y",Settings!$B$9,0)-Settings!$B$13-Settings!$B$12)-N(L135))</f>
        <v/>
      </c>
      <c r="AH135" s="41" t="str">
        <f aca="false">IF(OR(K135="",G135=""),"",(J135+V135+Settings!$B$15)/(1-(1+Settings!$B$10)*(IF(N135="",Settings!$B$5,N135)+IF(M135="",Settings!$B$11,M135))-IF(UPPER(O135)="Y",Settings!$B$9,0)-Settings!$B$13-Settings!$B$12)-N(L135))</f>
        <v/>
      </c>
      <c r="AI135" s="46" t="str">
        <f aca="false">IF(C135="","",IF(OR(ISNUMBER(SEARCH("amazon",C135)),ISNUMBER(SEARCH("walmart",C135)),ISNUMBER(SEARCH("aliexpress",C135)),ISNUMBER(SEARCH("temu",C135))),"⚠ Retail source — not allowed","✓ Wholesale / own stock"))</f>
        <v/>
      </c>
      <c r="AJ135" s="47" t="str">
        <f aca="false">IF(OR(K135="",G135=""),"",IF(LEFT(AI135,1)="⚠","❌ SKIP",IF(AND(AC135&gt;=Settings!$B$15,AF135&gt;=Settings!$B$16,OR(R135="",N(R135)&gt;=Settings!$B$17)),"✅ GO",IF(AC135&gt;0,"⚠ CHECK","❌ SKIP"))))</f>
        <v/>
      </c>
      <c r="AK135" s="38"/>
    </row>
    <row r="136" customFormat="false" ht="15" hidden="false" customHeight="false" outlineLevel="0" collapsed="false">
      <c r="A136" s="37" t="str">
        <f aca="false">IF(B136="","",ROW()-4)</f>
        <v/>
      </c>
      <c r="B136" s="38"/>
      <c r="C136" s="39"/>
      <c r="D136" s="38"/>
      <c r="E136" s="38"/>
      <c r="F136" s="38"/>
      <c r="G136" s="40"/>
      <c r="H136" s="40"/>
      <c r="I136" s="40"/>
      <c r="J136" s="41" t="str">
        <f aca="false">IF(G136="","",G136+N(H136)+N(I136))</f>
        <v/>
      </c>
      <c r="K136" s="40"/>
      <c r="L136" s="40"/>
      <c r="M136" s="42"/>
      <c r="N136" s="42"/>
      <c r="O136" s="39"/>
      <c r="P136" s="38"/>
      <c r="Q136" s="38"/>
      <c r="R136" s="43" t="str">
        <f aca="false">IF(OR(P136="",Q136=""),"",P136/(P136+Q136))</f>
        <v/>
      </c>
      <c r="S136" s="41" t="str">
        <f aca="false">IF(OR(K136="",G136=""),"",K136+N(L136))</f>
        <v/>
      </c>
      <c r="T136" s="41" t="str">
        <f aca="false">IF(OR(K136="",G136=""),"",S136*Settings!$B$10)</f>
        <v/>
      </c>
      <c r="U136" s="41" t="str">
        <f aca="false">IF(OR(K136="",G136=""),"",(S136+T136)*IF(N136="",Settings!$B$5,N136))</f>
        <v/>
      </c>
      <c r="V136" s="41" t="str">
        <f aca="false">IF(OR(K136="",G136=""),"",IF(S136+T136&lt;=Settings!$B$8,Settings!$B$6,Settings!$B$7))</f>
        <v/>
      </c>
      <c r="W136" s="41" t="str">
        <f aca="false">IF(OR(K136="",G136=""),"",S136*IF(UPPER(O136)="Y",Settings!$B$9,0))</f>
        <v/>
      </c>
      <c r="X136" s="41" t="str">
        <f aca="false">IF(OR(K136="",G136=""),"",(S136+T136)*IF(M136="",Settings!$B$11,M136))</f>
        <v/>
      </c>
      <c r="Y136" s="41" t="str">
        <f aca="false">IF(OR(K136="",G136=""),"",U136+V136+W136+X136)</f>
        <v/>
      </c>
      <c r="Z136" s="41" t="str">
        <f aca="false">IF(OR(K136="",G136=""),"",S136-Y136)</f>
        <v/>
      </c>
      <c r="AA136" s="41" t="str">
        <f aca="false">IF(OR(K136="",G136=""),"",Z136*Settings!$B$12)</f>
        <v/>
      </c>
      <c r="AB136" s="41" t="str">
        <f aca="false">IF(OR(K136="",G136=""),"",S136*Settings!$B$13)</f>
        <v/>
      </c>
      <c r="AC136" s="44" t="str">
        <f aca="false">IF(OR(K136="",G136=""),"",Z136-AA136-AB136-J136)</f>
        <v/>
      </c>
      <c r="AD136" s="45" t="str">
        <f aca="false">IF(OR(K136="",G136=""),"",AC136*Settings!$B$14)</f>
        <v/>
      </c>
      <c r="AE136" s="43" t="str">
        <f aca="false">IF(OR(K136="",G136=""),"",IF(S136=0,"",AC136/S136))</f>
        <v/>
      </c>
      <c r="AF136" s="43" t="str">
        <f aca="false">IF(OR(K136="",G136=""),"",IF(J136=0,"",AC136/J136))</f>
        <v/>
      </c>
      <c r="AG136" s="41" t="str">
        <f aca="false">IF(OR(K136="",G136=""),"",(J136+V136)/(1-(1+Settings!$B$10)*(IF(N136="",Settings!$B$5,N136)+IF(M136="",Settings!$B$11,M136))-IF(UPPER(O136)="Y",Settings!$B$9,0)-Settings!$B$13-Settings!$B$12)-N(L136))</f>
        <v/>
      </c>
      <c r="AH136" s="41" t="str">
        <f aca="false">IF(OR(K136="",G136=""),"",(J136+V136+Settings!$B$15)/(1-(1+Settings!$B$10)*(IF(N136="",Settings!$B$5,N136)+IF(M136="",Settings!$B$11,M136))-IF(UPPER(O136)="Y",Settings!$B$9,0)-Settings!$B$13-Settings!$B$12)-N(L136))</f>
        <v/>
      </c>
      <c r="AI136" s="46" t="str">
        <f aca="false">IF(C136="","",IF(OR(ISNUMBER(SEARCH("amazon",C136)),ISNUMBER(SEARCH("walmart",C136)),ISNUMBER(SEARCH("aliexpress",C136)),ISNUMBER(SEARCH("temu",C136))),"⚠ Retail source — not allowed","✓ Wholesale / own stock"))</f>
        <v/>
      </c>
      <c r="AJ136" s="47" t="str">
        <f aca="false">IF(OR(K136="",G136=""),"",IF(LEFT(AI136,1)="⚠","❌ SKIP",IF(AND(AC136&gt;=Settings!$B$15,AF136&gt;=Settings!$B$16,OR(R136="",N(R136)&gt;=Settings!$B$17)),"✅ GO",IF(AC136&gt;0,"⚠ CHECK","❌ SKIP"))))</f>
        <v/>
      </c>
      <c r="AK136" s="38"/>
    </row>
    <row r="137" customFormat="false" ht="15" hidden="false" customHeight="false" outlineLevel="0" collapsed="false">
      <c r="A137" s="37" t="str">
        <f aca="false">IF(B137="","",ROW()-4)</f>
        <v/>
      </c>
      <c r="B137" s="38"/>
      <c r="C137" s="39"/>
      <c r="D137" s="38"/>
      <c r="E137" s="38"/>
      <c r="F137" s="38"/>
      <c r="G137" s="40"/>
      <c r="H137" s="40"/>
      <c r="I137" s="40"/>
      <c r="J137" s="41" t="str">
        <f aca="false">IF(G137="","",G137+N(H137)+N(I137))</f>
        <v/>
      </c>
      <c r="K137" s="40"/>
      <c r="L137" s="40"/>
      <c r="M137" s="42"/>
      <c r="N137" s="42"/>
      <c r="O137" s="39"/>
      <c r="P137" s="38"/>
      <c r="Q137" s="38"/>
      <c r="R137" s="43" t="str">
        <f aca="false">IF(OR(P137="",Q137=""),"",P137/(P137+Q137))</f>
        <v/>
      </c>
      <c r="S137" s="41" t="str">
        <f aca="false">IF(OR(K137="",G137=""),"",K137+N(L137))</f>
        <v/>
      </c>
      <c r="T137" s="41" t="str">
        <f aca="false">IF(OR(K137="",G137=""),"",S137*Settings!$B$10)</f>
        <v/>
      </c>
      <c r="U137" s="41" t="str">
        <f aca="false">IF(OR(K137="",G137=""),"",(S137+T137)*IF(N137="",Settings!$B$5,N137))</f>
        <v/>
      </c>
      <c r="V137" s="41" t="str">
        <f aca="false">IF(OR(K137="",G137=""),"",IF(S137+T137&lt;=Settings!$B$8,Settings!$B$6,Settings!$B$7))</f>
        <v/>
      </c>
      <c r="W137" s="41" t="str">
        <f aca="false">IF(OR(K137="",G137=""),"",S137*IF(UPPER(O137)="Y",Settings!$B$9,0))</f>
        <v/>
      </c>
      <c r="X137" s="41" t="str">
        <f aca="false">IF(OR(K137="",G137=""),"",(S137+T137)*IF(M137="",Settings!$B$11,M137))</f>
        <v/>
      </c>
      <c r="Y137" s="41" t="str">
        <f aca="false">IF(OR(K137="",G137=""),"",U137+V137+W137+X137)</f>
        <v/>
      </c>
      <c r="Z137" s="41" t="str">
        <f aca="false">IF(OR(K137="",G137=""),"",S137-Y137)</f>
        <v/>
      </c>
      <c r="AA137" s="41" t="str">
        <f aca="false">IF(OR(K137="",G137=""),"",Z137*Settings!$B$12)</f>
        <v/>
      </c>
      <c r="AB137" s="41" t="str">
        <f aca="false">IF(OR(K137="",G137=""),"",S137*Settings!$B$13)</f>
        <v/>
      </c>
      <c r="AC137" s="44" t="str">
        <f aca="false">IF(OR(K137="",G137=""),"",Z137-AA137-AB137-J137)</f>
        <v/>
      </c>
      <c r="AD137" s="45" t="str">
        <f aca="false">IF(OR(K137="",G137=""),"",AC137*Settings!$B$14)</f>
        <v/>
      </c>
      <c r="AE137" s="43" t="str">
        <f aca="false">IF(OR(K137="",G137=""),"",IF(S137=0,"",AC137/S137))</f>
        <v/>
      </c>
      <c r="AF137" s="43" t="str">
        <f aca="false">IF(OR(K137="",G137=""),"",IF(J137=0,"",AC137/J137))</f>
        <v/>
      </c>
      <c r="AG137" s="41" t="str">
        <f aca="false">IF(OR(K137="",G137=""),"",(J137+V137)/(1-(1+Settings!$B$10)*(IF(N137="",Settings!$B$5,N137)+IF(M137="",Settings!$B$11,M137))-IF(UPPER(O137)="Y",Settings!$B$9,0)-Settings!$B$13-Settings!$B$12)-N(L137))</f>
        <v/>
      </c>
      <c r="AH137" s="41" t="str">
        <f aca="false">IF(OR(K137="",G137=""),"",(J137+V137+Settings!$B$15)/(1-(1+Settings!$B$10)*(IF(N137="",Settings!$B$5,N137)+IF(M137="",Settings!$B$11,M137))-IF(UPPER(O137)="Y",Settings!$B$9,0)-Settings!$B$13-Settings!$B$12)-N(L137))</f>
        <v/>
      </c>
      <c r="AI137" s="46" t="str">
        <f aca="false">IF(C137="","",IF(OR(ISNUMBER(SEARCH("amazon",C137)),ISNUMBER(SEARCH("walmart",C137)),ISNUMBER(SEARCH("aliexpress",C137)),ISNUMBER(SEARCH("temu",C137))),"⚠ Retail source — not allowed","✓ Wholesale / own stock"))</f>
        <v/>
      </c>
      <c r="AJ137" s="47" t="str">
        <f aca="false">IF(OR(K137="",G137=""),"",IF(LEFT(AI137,1)="⚠","❌ SKIP",IF(AND(AC137&gt;=Settings!$B$15,AF137&gt;=Settings!$B$16,OR(R137="",N(R137)&gt;=Settings!$B$17)),"✅ GO",IF(AC137&gt;0,"⚠ CHECK","❌ SKIP"))))</f>
        <v/>
      </c>
      <c r="AK137" s="38"/>
    </row>
    <row r="138" customFormat="false" ht="15" hidden="false" customHeight="false" outlineLevel="0" collapsed="false">
      <c r="A138" s="37" t="str">
        <f aca="false">IF(B138="","",ROW()-4)</f>
        <v/>
      </c>
      <c r="B138" s="38"/>
      <c r="C138" s="39"/>
      <c r="D138" s="38"/>
      <c r="E138" s="38"/>
      <c r="F138" s="38"/>
      <c r="G138" s="40"/>
      <c r="H138" s="40"/>
      <c r="I138" s="40"/>
      <c r="J138" s="41" t="str">
        <f aca="false">IF(G138="","",G138+N(H138)+N(I138))</f>
        <v/>
      </c>
      <c r="K138" s="40"/>
      <c r="L138" s="40"/>
      <c r="M138" s="42"/>
      <c r="N138" s="42"/>
      <c r="O138" s="39"/>
      <c r="P138" s="38"/>
      <c r="Q138" s="38"/>
      <c r="R138" s="43" t="str">
        <f aca="false">IF(OR(P138="",Q138=""),"",P138/(P138+Q138))</f>
        <v/>
      </c>
      <c r="S138" s="41" t="str">
        <f aca="false">IF(OR(K138="",G138=""),"",K138+N(L138))</f>
        <v/>
      </c>
      <c r="T138" s="41" t="str">
        <f aca="false">IF(OR(K138="",G138=""),"",S138*Settings!$B$10)</f>
        <v/>
      </c>
      <c r="U138" s="41" t="str">
        <f aca="false">IF(OR(K138="",G138=""),"",(S138+T138)*IF(N138="",Settings!$B$5,N138))</f>
        <v/>
      </c>
      <c r="V138" s="41" t="str">
        <f aca="false">IF(OR(K138="",G138=""),"",IF(S138+T138&lt;=Settings!$B$8,Settings!$B$6,Settings!$B$7))</f>
        <v/>
      </c>
      <c r="W138" s="41" t="str">
        <f aca="false">IF(OR(K138="",G138=""),"",S138*IF(UPPER(O138)="Y",Settings!$B$9,0))</f>
        <v/>
      </c>
      <c r="X138" s="41" t="str">
        <f aca="false">IF(OR(K138="",G138=""),"",(S138+T138)*IF(M138="",Settings!$B$11,M138))</f>
        <v/>
      </c>
      <c r="Y138" s="41" t="str">
        <f aca="false">IF(OR(K138="",G138=""),"",U138+V138+W138+X138)</f>
        <v/>
      </c>
      <c r="Z138" s="41" t="str">
        <f aca="false">IF(OR(K138="",G138=""),"",S138-Y138)</f>
        <v/>
      </c>
      <c r="AA138" s="41" t="str">
        <f aca="false">IF(OR(K138="",G138=""),"",Z138*Settings!$B$12)</f>
        <v/>
      </c>
      <c r="AB138" s="41" t="str">
        <f aca="false">IF(OR(K138="",G138=""),"",S138*Settings!$B$13)</f>
        <v/>
      </c>
      <c r="AC138" s="44" t="str">
        <f aca="false">IF(OR(K138="",G138=""),"",Z138-AA138-AB138-J138)</f>
        <v/>
      </c>
      <c r="AD138" s="45" t="str">
        <f aca="false">IF(OR(K138="",G138=""),"",AC138*Settings!$B$14)</f>
        <v/>
      </c>
      <c r="AE138" s="43" t="str">
        <f aca="false">IF(OR(K138="",G138=""),"",IF(S138=0,"",AC138/S138))</f>
        <v/>
      </c>
      <c r="AF138" s="43" t="str">
        <f aca="false">IF(OR(K138="",G138=""),"",IF(J138=0,"",AC138/J138))</f>
        <v/>
      </c>
      <c r="AG138" s="41" t="str">
        <f aca="false">IF(OR(K138="",G138=""),"",(J138+V138)/(1-(1+Settings!$B$10)*(IF(N138="",Settings!$B$5,N138)+IF(M138="",Settings!$B$11,M138))-IF(UPPER(O138)="Y",Settings!$B$9,0)-Settings!$B$13-Settings!$B$12)-N(L138))</f>
        <v/>
      </c>
      <c r="AH138" s="41" t="str">
        <f aca="false">IF(OR(K138="",G138=""),"",(J138+V138+Settings!$B$15)/(1-(1+Settings!$B$10)*(IF(N138="",Settings!$B$5,N138)+IF(M138="",Settings!$B$11,M138))-IF(UPPER(O138)="Y",Settings!$B$9,0)-Settings!$B$13-Settings!$B$12)-N(L138))</f>
        <v/>
      </c>
      <c r="AI138" s="46" t="str">
        <f aca="false">IF(C138="","",IF(OR(ISNUMBER(SEARCH("amazon",C138)),ISNUMBER(SEARCH("walmart",C138)),ISNUMBER(SEARCH("aliexpress",C138)),ISNUMBER(SEARCH("temu",C138))),"⚠ Retail source — not allowed","✓ Wholesale / own stock"))</f>
        <v/>
      </c>
      <c r="AJ138" s="47" t="str">
        <f aca="false">IF(OR(K138="",G138=""),"",IF(LEFT(AI138,1)="⚠","❌ SKIP",IF(AND(AC138&gt;=Settings!$B$15,AF138&gt;=Settings!$B$16,OR(R138="",N(R138)&gt;=Settings!$B$17)),"✅ GO",IF(AC138&gt;0,"⚠ CHECK","❌ SKIP"))))</f>
        <v/>
      </c>
      <c r="AK138" s="38"/>
    </row>
    <row r="139" customFormat="false" ht="15" hidden="false" customHeight="false" outlineLevel="0" collapsed="false">
      <c r="A139" s="37" t="str">
        <f aca="false">IF(B139="","",ROW()-4)</f>
        <v/>
      </c>
      <c r="B139" s="38"/>
      <c r="C139" s="39"/>
      <c r="D139" s="38"/>
      <c r="E139" s="38"/>
      <c r="F139" s="38"/>
      <c r="G139" s="40"/>
      <c r="H139" s="40"/>
      <c r="I139" s="40"/>
      <c r="J139" s="41" t="str">
        <f aca="false">IF(G139="","",G139+N(H139)+N(I139))</f>
        <v/>
      </c>
      <c r="K139" s="40"/>
      <c r="L139" s="40"/>
      <c r="M139" s="42"/>
      <c r="N139" s="42"/>
      <c r="O139" s="39"/>
      <c r="P139" s="38"/>
      <c r="Q139" s="38"/>
      <c r="R139" s="43" t="str">
        <f aca="false">IF(OR(P139="",Q139=""),"",P139/(P139+Q139))</f>
        <v/>
      </c>
      <c r="S139" s="41" t="str">
        <f aca="false">IF(OR(K139="",G139=""),"",K139+N(L139))</f>
        <v/>
      </c>
      <c r="T139" s="41" t="str">
        <f aca="false">IF(OR(K139="",G139=""),"",S139*Settings!$B$10)</f>
        <v/>
      </c>
      <c r="U139" s="41" t="str">
        <f aca="false">IF(OR(K139="",G139=""),"",(S139+T139)*IF(N139="",Settings!$B$5,N139))</f>
        <v/>
      </c>
      <c r="V139" s="41" t="str">
        <f aca="false">IF(OR(K139="",G139=""),"",IF(S139+T139&lt;=Settings!$B$8,Settings!$B$6,Settings!$B$7))</f>
        <v/>
      </c>
      <c r="W139" s="41" t="str">
        <f aca="false">IF(OR(K139="",G139=""),"",S139*IF(UPPER(O139)="Y",Settings!$B$9,0))</f>
        <v/>
      </c>
      <c r="X139" s="41" t="str">
        <f aca="false">IF(OR(K139="",G139=""),"",(S139+T139)*IF(M139="",Settings!$B$11,M139))</f>
        <v/>
      </c>
      <c r="Y139" s="41" t="str">
        <f aca="false">IF(OR(K139="",G139=""),"",U139+V139+W139+X139)</f>
        <v/>
      </c>
      <c r="Z139" s="41" t="str">
        <f aca="false">IF(OR(K139="",G139=""),"",S139-Y139)</f>
        <v/>
      </c>
      <c r="AA139" s="41" t="str">
        <f aca="false">IF(OR(K139="",G139=""),"",Z139*Settings!$B$12)</f>
        <v/>
      </c>
      <c r="AB139" s="41" t="str">
        <f aca="false">IF(OR(K139="",G139=""),"",S139*Settings!$B$13)</f>
        <v/>
      </c>
      <c r="AC139" s="44" t="str">
        <f aca="false">IF(OR(K139="",G139=""),"",Z139-AA139-AB139-J139)</f>
        <v/>
      </c>
      <c r="AD139" s="45" t="str">
        <f aca="false">IF(OR(K139="",G139=""),"",AC139*Settings!$B$14)</f>
        <v/>
      </c>
      <c r="AE139" s="43" t="str">
        <f aca="false">IF(OR(K139="",G139=""),"",IF(S139=0,"",AC139/S139))</f>
        <v/>
      </c>
      <c r="AF139" s="43" t="str">
        <f aca="false">IF(OR(K139="",G139=""),"",IF(J139=0,"",AC139/J139))</f>
        <v/>
      </c>
      <c r="AG139" s="41" t="str">
        <f aca="false">IF(OR(K139="",G139=""),"",(J139+V139)/(1-(1+Settings!$B$10)*(IF(N139="",Settings!$B$5,N139)+IF(M139="",Settings!$B$11,M139))-IF(UPPER(O139)="Y",Settings!$B$9,0)-Settings!$B$13-Settings!$B$12)-N(L139))</f>
        <v/>
      </c>
      <c r="AH139" s="41" t="str">
        <f aca="false">IF(OR(K139="",G139=""),"",(J139+V139+Settings!$B$15)/(1-(1+Settings!$B$10)*(IF(N139="",Settings!$B$5,N139)+IF(M139="",Settings!$B$11,M139))-IF(UPPER(O139)="Y",Settings!$B$9,0)-Settings!$B$13-Settings!$B$12)-N(L139))</f>
        <v/>
      </c>
      <c r="AI139" s="46" t="str">
        <f aca="false">IF(C139="","",IF(OR(ISNUMBER(SEARCH("amazon",C139)),ISNUMBER(SEARCH("walmart",C139)),ISNUMBER(SEARCH("aliexpress",C139)),ISNUMBER(SEARCH("temu",C139))),"⚠ Retail source — not allowed","✓ Wholesale / own stock"))</f>
        <v/>
      </c>
      <c r="AJ139" s="47" t="str">
        <f aca="false">IF(OR(K139="",G139=""),"",IF(LEFT(AI139,1)="⚠","❌ SKIP",IF(AND(AC139&gt;=Settings!$B$15,AF139&gt;=Settings!$B$16,OR(R139="",N(R139)&gt;=Settings!$B$17)),"✅ GO",IF(AC139&gt;0,"⚠ CHECK","❌ SKIP"))))</f>
        <v/>
      </c>
      <c r="AK139" s="38"/>
    </row>
    <row r="140" customFormat="false" ht="15" hidden="false" customHeight="false" outlineLevel="0" collapsed="false">
      <c r="A140" s="37" t="str">
        <f aca="false">IF(B140="","",ROW()-4)</f>
        <v/>
      </c>
      <c r="B140" s="38"/>
      <c r="C140" s="39"/>
      <c r="D140" s="38"/>
      <c r="E140" s="38"/>
      <c r="F140" s="38"/>
      <c r="G140" s="40"/>
      <c r="H140" s="40"/>
      <c r="I140" s="40"/>
      <c r="J140" s="41" t="str">
        <f aca="false">IF(G140="","",G140+N(H140)+N(I140))</f>
        <v/>
      </c>
      <c r="K140" s="40"/>
      <c r="L140" s="40"/>
      <c r="M140" s="42"/>
      <c r="N140" s="42"/>
      <c r="O140" s="39"/>
      <c r="P140" s="38"/>
      <c r="Q140" s="38"/>
      <c r="R140" s="43" t="str">
        <f aca="false">IF(OR(P140="",Q140=""),"",P140/(P140+Q140))</f>
        <v/>
      </c>
      <c r="S140" s="41" t="str">
        <f aca="false">IF(OR(K140="",G140=""),"",K140+N(L140))</f>
        <v/>
      </c>
      <c r="T140" s="41" t="str">
        <f aca="false">IF(OR(K140="",G140=""),"",S140*Settings!$B$10)</f>
        <v/>
      </c>
      <c r="U140" s="41" t="str">
        <f aca="false">IF(OR(K140="",G140=""),"",(S140+T140)*IF(N140="",Settings!$B$5,N140))</f>
        <v/>
      </c>
      <c r="V140" s="41" t="str">
        <f aca="false">IF(OR(K140="",G140=""),"",IF(S140+T140&lt;=Settings!$B$8,Settings!$B$6,Settings!$B$7))</f>
        <v/>
      </c>
      <c r="W140" s="41" t="str">
        <f aca="false">IF(OR(K140="",G140=""),"",S140*IF(UPPER(O140)="Y",Settings!$B$9,0))</f>
        <v/>
      </c>
      <c r="X140" s="41" t="str">
        <f aca="false">IF(OR(K140="",G140=""),"",(S140+T140)*IF(M140="",Settings!$B$11,M140))</f>
        <v/>
      </c>
      <c r="Y140" s="41" t="str">
        <f aca="false">IF(OR(K140="",G140=""),"",U140+V140+W140+X140)</f>
        <v/>
      </c>
      <c r="Z140" s="41" t="str">
        <f aca="false">IF(OR(K140="",G140=""),"",S140-Y140)</f>
        <v/>
      </c>
      <c r="AA140" s="41" t="str">
        <f aca="false">IF(OR(K140="",G140=""),"",Z140*Settings!$B$12)</f>
        <v/>
      </c>
      <c r="AB140" s="41" t="str">
        <f aca="false">IF(OR(K140="",G140=""),"",S140*Settings!$B$13)</f>
        <v/>
      </c>
      <c r="AC140" s="44" t="str">
        <f aca="false">IF(OR(K140="",G140=""),"",Z140-AA140-AB140-J140)</f>
        <v/>
      </c>
      <c r="AD140" s="45" t="str">
        <f aca="false">IF(OR(K140="",G140=""),"",AC140*Settings!$B$14)</f>
        <v/>
      </c>
      <c r="AE140" s="43" t="str">
        <f aca="false">IF(OR(K140="",G140=""),"",IF(S140=0,"",AC140/S140))</f>
        <v/>
      </c>
      <c r="AF140" s="43" t="str">
        <f aca="false">IF(OR(K140="",G140=""),"",IF(J140=0,"",AC140/J140))</f>
        <v/>
      </c>
      <c r="AG140" s="41" t="str">
        <f aca="false">IF(OR(K140="",G140=""),"",(J140+V140)/(1-(1+Settings!$B$10)*(IF(N140="",Settings!$B$5,N140)+IF(M140="",Settings!$B$11,M140))-IF(UPPER(O140)="Y",Settings!$B$9,0)-Settings!$B$13-Settings!$B$12)-N(L140))</f>
        <v/>
      </c>
      <c r="AH140" s="41" t="str">
        <f aca="false">IF(OR(K140="",G140=""),"",(J140+V140+Settings!$B$15)/(1-(1+Settings!$B$10)*(IF(N140="",Settings!$B$5,N140)+IF(M140="",Settings!$B$11,M140))-IF(UPPER(O140)="Y",Settings!$B$9,0)-Settings!$B$13-Settings!$B$12)-N(L140))</f>
        <v/>
      </c>
      <c r="AI140" s="46" t="str">
        <f aca="false">IF(C140="","",IF(OR(ISNUMBER(SEARCH("amazon",C140)),ISNUMBER(SEARCH("walmart",C140)),ISNUMBER(SEARCH("aliexpress",C140)),ISNUMBER(SEARCH("temu",C140))),"⚠ Retail source — not allowed","✓ Wholesale / own stock"))</f>
        <v/>
      </c>
      <c r="AJ140" s="47" t="str">
        <f aca="false">IF(OR(K140="",G140=""),"",IF(LEFT(AI140,1)="⚠","❌ SKIP",IF(AND(AC140&gt;=Settings!$B$15,AF140&gt;=Settings!$B$16,OR(R140="",N(R140)&gt;=Settings!$B$17)),"✅ GO",IF(AC140&gt;0,"⚠ CHECK","❌ SKIP"))))</f>
        <v/>
      </c>
      <c r="AK140" s="38"/>
    </row>
    <row r="141" customFormat="false" ht="15" hidden="false" customHeight="false" outlineLevel="0" collapsed="false">
      <c r="A141" s="37" t="str">
        <f aca="false">IF(B141="","",ROW()-4)</f>
        <v/>
      </c>
      <c r="B141" s="38"/>
      <c r="C141" s="39"/>
      <c r="D141" s="38"/>
      <c r="E141" s="38"/>
      <c r="F141" s="38"/>
      <c r="G141" s="40"/>
      <c r="H141" s="40"/>
      <c r="I141" s="40"/>
      <c r="J141" s="41" t="str">
        <f aca="false">IF(G141="","",G141+N(H141)+N(I141))</f>
        <v/>
      </c>
      <c r="K141" s="40"/>
      <c r="L141" s="40"/>
      <c r="M141" s="42"/>
      <c r="N141" s="42"/>
      <c r="O141" s="39"/>
      <c r="P141" s="38"/>
      <c r="Q141" s="38"/>
      <c r="R141" s="43" t="str">
        <f aca="false">IF(OR(P141="",Q141=""),"",P141/(P141+Q141))</f>
        <v/>
      </c>
      <c r="S141" s="41" t="str">
        <f aca="false">IF(OR(K141="",G141=""),"",K141+N(L141))</f>
        <v/>
      </c>
      <c r="T141" s="41" t="str">
        <f aca="false">IF(OR(K141="",G141=""),"",S141*Settings!$B$10)</f>
        <v/>
      </c>
      <c r="U141" s="41" t="str">
        <f aca="false">IF(OR(K141="",G141=""),"",(S141+T141)*IF(N141="",Settings!$B$5,N141))</f>
        <v/>
      </c>
      <c r="V141" s="41" t="str">
        <f aca="false">IF(OR(K141="",G141=""),"",IF(S141+T141&lt;=Settings!$B$8,Settings!$B$6,Settings!$B$7))</f>
        <v/>
      </c>
      <c r="W141" s="41" t="str">
        <f aca="false">IF(OR(K141="",G141=""),"",S141*IF(UPPER(O141)="Y",Settings!$B$9,0))</f>
        <v/>
      </c>
      <c r="X141" s="41" t="str">
        <f aca="false">IF(OR(K141="",G141=""),"",(S141+T141)*IF(M141="",Settings!$B$11,M141))</f>
        <v/>
      </c>
      <c r="Y141" s="41" t="str">
        <f aca="false">IF(OR(K141="",G141=""),"",U141+V141+W141+X141)</f>
        <v/>
      </c>
      <c r="Z141" s="41" t="str">
        <f aca="false">IF(OR(K141="",G141=""),"",S141-Y141)</f>
        <v/>
      </c>
      <c r="AA141" s="41" t="str">
        <f aca="false">IF(OR(K141="",G141=""),"",Z141*Settings!$B$12)</f>
        <v/>
      </c>
      <c r="AB141" s="41" t="str">
        <f aca="false">IF(OR(K141="",G141=""),"",S141*Settings!$B$13)</f>
        <v/>
      </c>
      <c r="AC141" s="44" t="str">
        <f aca="false">IF(OR(K141="",G141=""),"",Z141-AA141-AB141-J141)</f>
        <v/>
      </c>
      <c r="AD141" s="45" t="str">
        <f aca="false">IF(OR(K141="",G141=""),"",AC141*Settings!$B$14)</f>
        <v/>
      </c>
      <c r="AE141" s="43" t="str">
        <f aca="false">IF(OR(K141="",G141=""),"",IF(S141=0,"",AC141/S141))</f>
        <v/>
      </c>
      <c r="AF141" s="43" t="str">
        <f aca="false">IF(OR(K141="",G141=""),"",IF(J141=0,"",AC141/J141))</f>
        <v/>
      </c>
      <c r="AG141" s="41" t="str">
        <f aca="false">IF(OR(K141="",G141=""),"",(J141+V141)/(1-(1+Settings!$B$10)*(IF(N141="",Settings!$B$5,N141)+IF(M141="",Settings!$B$11,M141))-IF(UPPER(O141)="Y",Settings!$B$9,0)-Settings!$B$13-Settings!$B$12)-N(L141))</f>
        <v/>
      </c>
      <c r="AH141" s="41" t="str">
        <f aca="false">IF(OR(K141="",G141=""),"",(J141+V141+Settings!$B$15)/(1-(1+Settings!$B$10)*(IF(N141="",Settings!$B$5,N141)+IF(M141="",Settings!$B$11,M141))-IF(UPPER(O141)="Y",Settings!$B$9,0)-Settings!$B$13-Settings!$B$12)-N(L141))</f>
        <v/>
      </c>
      <c r="AI141" s="46" t="str">
        <f aca="false">IF(C141="","",IF(OR(ISNUMBER(SEARCH("amazon",C141)),ISNUMBER(SEARCH("walmart",C141)),ISNUMBER(SEARCH("aliexpress",C141)),ISNUMBER(SEARCH("temu",C141))),"⚠ Retail source — not allowed","✓ Wholesale / own stock"))</f>
        <v/>
      </c>
      <c r="AJ141" s="47" t="str">
        <f aca="false">IF(OR(K141="",G141=""),"",IF(LEFT(AI141,1)="⚠","❌ SKIP",IF(AND(AC141&gt;=Settings!$B$15,AF141&gt;=Settings!$B$16,OR(R141="",N(R141)&gt;=Settings!$B$17)),"✅ GO",IF(AC141&gt;0,"⚠ CHECK","❌ SKIP"))))</f>
        <v/>
      </c>
      <c r="AK141" s="38"/>
    </row>
    <row r="142" customFormat="false" ht="15" hidden="false" customHeight="false" outlineLevel="0" collapsed="false">
      <c r="A142" s="37" t="str">
        <f aca="false">IF(B142="","",ROW()-4)</f>
        <v/>
      </c>
      <c r="B142" s="38"/>
      <c r="C142" s="39"/>
      <c r="D142" s="38"/>
      <c r="E142" s="38"/>
      <c r="F142" s="38"/>
      <c r="G142" s="40"/>
      <c r="H142" s="40"/>
      <c r="I142" s="40"/>
      <c r="J142" s="41" t="str">
        <f aca="false">IF(G142="","",G142+N(H142)+N(I142))</f>
        <v/>
      </c>
      <c r="K142" s="40"/>
      <c r="L142" s="40"/>
      <c r="M142" s="42"/>
      <c r="N142" s="42"/>
      <c r="O142" s="39"/>
      <c r="P142" s="38"/>
      <c r="Q142" s="38"/>
      <c r="R142" s="43" t="str">
        <f aca="false">IF(OR(P142="",Q142=""),"",P142/(P142+Q142))</f>
        <v/>
      </c>
      <c r="S142" s="41" t="str">
        <f aca="false">IF(OR(K142="",G142=""),"",K142+N(L142))</f>
        <v/>
      </c>
      <c r="T142" s="41" t="str">
        <f aca="false">IF(OR(K142="",G142=""),"",S142*Settings!$B$10)</f>
        <v/>
      </c>
      <c r="U142" s="41" t="str">
        <f aca="false">IF(OR(K142="",G142=""),"",(S142+T142)*IF(N142="",Settings!$B$5,N142))</f>
        <v/>
      </c>
      <c r="V142" s="41" t="str">
        <f aca="false">IF(OR(K142="",G142=""),"",IF(S142+T142&lt;=Settings!$B$8,Settings!$B$6,Settings!$B$7))</f>
        <v/>
      </c>
      <c r="W142" s="41" t="str">
        <f aca="false">IF(OR(K142="",G142=""),"",S142*IF(UPPER(O142)="Y",Settings!$B$9,0))</f>
        <v/>
      </c>
      <c r="X142" s="41" t="str">
        <f aca="false">IF(OR(K142="",G142=""),"",(S142+T142)*IF(M142="",Settings!$B$11,M142))</f>
        <v/>
      </c>
      <c r="Y142" s="41" t="str">
        <f aca="false">IF(OR(K142="",G142=""),"",U142+V142+W142+X142)</f>
        <v/>
      </c>
      <c r="Z142" s="41" t="str">
        <f aca="false">IF(OR(K142="",G142=""),"",S142-Y142)</f>
        <v/>
      </c>
      <c r="AA142" s="41" t="str">
        <f aca="false">IF(OR(K142="",G142=""),"",Z142*Settings!$B$12)</f>
        <v/>
      </c>
      <c r="AB142" s="41" t="str">
        <f aca="false">IF(OR(K142="",G142=""),"",S142*Settings!$B$13)</f>
        <v/>
      </c>
      <c r="AC142" s="44" t="str">
        <f aca="false">IF(OR(K142="",G142=""),"",Z142-AA142-AB142-J142)</f>
        <v/>
      </c>
      <c r="AD142" s="45" t="str">
        <f aca="false">IF(OR(K142="",G142=""),"",AC142*Settings!$B$14)</f>
        <v/>
      </c>
      <c r="AE142" s="43" t="str">
        <f aca="false">IF(OR(K142="",G142=""),"",IF(S142=0,"",AC142/S142))</f>
        <v/>
      </c>
      <c r="AF142" s="43" t="str">
        <f aca="false">IF(OR(K142="",G142=""),"",IF(J142=0,"",AC142/J142))</f>
        <v/>
      </c>
      <c r="AG142" s="41" t="str">
        <f aca="false">IF(OR(K142="",G142=""),"",(J142+V142)/(1-(1+Settings!$B$10)*(IF(N142="",Settings!$B$5,N142)+IF(M142="",Settings!$B$11,M142))-IF(UPPER(O142)="Y",Settings!$B$9,0)-Settings!$B$13-Settings!$B$12)-N(L142))</f>
        <v/>
      </c>
      <c r="AH142" s="41" t="str">
        <f aca="false">IF(OR(K142="",G142=""),"",(J142+V142+Settings!$B$15)/(1-(1+Settings!$B$10)*(IF(N142="",Settings!$B$5,N142)+IF(M142="",Settings!$B$11,M142))-IF(UPPER(O142)="Y",Settings!$B$9,0)-Settings!$B$13-Settings!$B$12)-N(L142))</f>
        <v/>
      </c>
      <c r="AI142" s="46" t="str">
        <f aca="false">IF(C142="","",IF(OR(ISNUMBER(SEARCH("amazon",C142)),ISNUMBER(SEARCH("walmart",C142)),ISNUMBER(SEARCH("aliexpress",C142)),ISNUMBER(SEARCH("temu",C142))),"⚠ Retail source — not allowed","✓ Wholesale / own stock"))</f>
        <v/>
      </c>
      <c r="AJ142" s="47" t="str">
        <f aca="false">IF(OR(K142="",G142=""),"",IF(LEFT(AI142,1)="⚠","❌ SKIP",IF(AND(AC142&gt;=Settings!$B$15,AF142&gt;=Settings!$B$16,OR(R142="",N(R142)&gt;=Settings!$B$17)),"✅ GO",IF(AC142&gt;0,"⚠ CHECK","❌ SKIP"))))</f>
        <v/>
      </c>
      <c r="AK142" s="38"/>
    </row>
    <row r="143" customFormat="false" ht="15" hidden="false" customHeight="false" outlineLevel="0" collapsed="false">
      <c r="A143" s="37" t="str">
        <f aca="false">IF(B143="","",ROW()-4)</f>
        <v/>
      </c>
      <c r="B143" s="38"/>
      <c r="C143" s="39"/>
      <c r="D143" s="38"/>
      <c r="E143" s="38"/>
      <c r="F143" s="38"/>
      <c r="G143" s="40"/>
      <c r="H143" s="40"/>
      <c r="I143" s="40"/>
      <c r="J143" s="41" t="str">
        <f aca="false">IF(G143="","",G143+N(H143)+N(I143))</f>
        <v/>
      </c>
      <c r="K143" s="40"/>
      <c r="L143" s="40"/>
      <c r="M143" s="42"/>
      <c r="N143" s="42"/>
      <c r="O143" s="39"/>
      <c r="P143" s="38"/>
      <c r="Q143" s="38"/>
      <c r="R143" s="43" t="str">
        <f aca="false">IF(OR(P143="",Q143=""),"",P143/(P143+Q143))</f>
        <v/>
      </c>
      <c r="S143" s="41" t="str">
        <f aca="false">IF(OR(K143="",G143=""),"",K143+N(L143))</f>
        <v/>
      </c>
      <c r="T143" s="41" t="str">
        <f aca="false">IF(OR(K143="",G143=""),"",S143*Settings!$B$10)</f>
        <v/>
      </c>
      <c r="U143" s="41" t="str">
        <f aca="false">IF(OR(K143="",G143=""),"",(S143+T143)*IF(N143="",Settings!$B$5,N143))</f>
        <v/>
      </c>
      <c r="V143" s="41" t="str">
        <f aca="false">IF(OR(K143="",G143=""),"",IF(S143+T143&lt;=Settings!$B$8,Settings!$B$6,Settings!$B$7))</f>
        <v/>
      </c>
      <c r="W143" s="41" t="str">
        <f aca="false">IF(OR(K143="",G143=""),"",S143*IF(UPPER(O143)="Y",Settings!$B$9,0))</f>
        <v/>
      </c>
      <c r="X143" s="41" t="str">
        <f aca="false">IF(OR(K143="",G143=""),"",(S143+T143)*IF(M143="",Settings!$B$11,M143))</f>
        <v/>
      </c>
      <c r="Y143" s="41" t="str">
        <f aca="false">IF(OR(K143="",G143=""),"",U143+V143+W143+X143)</f>
        <v/>
      </c>
      <c r="Z143" s="41" t="str">
        <f aca="false">IF(OR(K143="",G143=""),"",S143-Y143)</f>
        <v/>
      </c>
      <c r="AA143" s="41" t="str">
        <f aca="false">IF(OR(K143="",G143=""),"",Z143*Settings!$B$12)</f>
        <v/>
      </c>
      <c r="AB143" s="41" t="str">
        <f aca="false">IF(OR(K143="",G143=""),"",S143*Settings!$B$13)</f>
        <v/>
      </c>
      <c r="AC143" s="44" t="str">
        <f aca="false">IF(OR(K143="",G143=""),"",Z143-AA143-AB143-J143)</f>
        <v/>
      </c>
      <c r="AD143" s="45" t="str">
        <f aca="false">IF(OR(K143="",G143=""),"",AC143*Settings!$B$14)</f>
        <v/>
      </c>
      <c r="AE143" s="43" t="str">
        <f aca="false">IF(OR(K143="",G143=""),"",IF(S143=0,"",AC143/S143))</f>
        <v/>
      </c>
      <c r="AF143" s="43" t="str">
        <f aca="false">IF(OR(K143="",G143=""),"",IF(J143=0,"",AC143/J143))</f>
        <v/>
      </c>
      <c r="AG143" s="41" t="str">
        <f aca="false">IF(OR(K143="",G143=""),"",(J143+V143)/(1-(1+Settings!$B$10)*(IF(N143="",Settings!$B$5,N143)+IF(M143="",Settings!$B$11,M143))-IF(UPPER(O143)="Y",Settings!$B$9,0)-Settings!$B$13-Settings!$B$12)-N(L143))</f>
        <v/>
      </c>
      <c r="AH143" s="41" t="str">
        <f aca="false">IF(OR(K143="",G143=""),"",(J143+V143+Settings!$B$15)/(1-(1+Settings!$B$10)*(IF(N143="",Settings!$B$5,N143)+IF(M143="",Settings!$B$11,M143))-IF(UPPER(O143)="Y",Settings!$B$9,0)-Settings!$B$13-Settings!$B$12)-N(L143))</f>
        <v/>
      </c>
      <c r="AI143" s="46" t="str">
        <f aca="false">IF(C143="","",IF(OR(ISNUMBER(SEARCH("amazon",C143)),ISNUMBER(SEARCH("walmart",C143)),ISNUMBER(SEARCH("aliexpress",C143)),ISNUMBER(SEARCH("temu",C143))),"⚠ Retail source — not allowed","✓ Wholesale / own stock"))</f>
        <v/>
      </c>
      <c r="AJ143" s="47" t="str">
        <f aca="false">IF(OR(K143="",G143=""),"",IF(LEFT(AI143,1)="⚠","❌ SKIP",IF(AND(AC143&gt;=Settings!$B$15,AF143&gt;=Settings!$B$16,OR(R143="",N(R143)&gt;=Settings!$B$17)),"✅ GO",IF(AC143&gt;0,"⚠ CHECK","❌ SKIP"))))</f>
        <v/>
      </c>
      <c r="AK143" s="38"/>
    </row>
    <row r="144" customFormat="false" ht="15" hidden="false" customHeight="false" outlineLevel="0" collapsed="false">
      <c r="A144" s="37" t="str">
        <f aca="false">IF(B144="","",ROW()-4)</f>
        <v/>
      </c>
      <c r="B144" s="38"/>
      <c r="C144" s="39"/>
      <c r="D144" s="38"/>
      <c r="E144" s="38"/>
      <c r="F144" s="38"/>
      <c r="G144" s="40"/>
      <c r="H144" s="40"/>
      <c r="I144" s="40"/>
      <c r="J144" s="41" t="str">
        <f aca="false">IF(G144="","",G144+N(H144)+N(I144))</f>
        <v/>
      </c>
      <c r="K144" s="40"/>
      <c r="L144" s="40"/>
      <c r="M144" s="42"/>
      <c r="N144" s="42"/>
      <c r="O144" s="39"/>
      <c r="P144" s="38"/>
      <c r="Q144" s="38"/>
      <c r="R144" s="43" t="str">
        <f aca="false">IF(OR(P144="",Q144=""),"",P144/(P144+Q144))</f>
        <v/>
      </c>
      <c r="S144" s="41" t="str">
        <f aca="false">IF(OR(K144="",G144=""),"",K144+N(L144))</f>
        <v/>
      </c>
      <c r="T144" s="41" t="str">
        <f aca="false">IF(OR(K144="",G144=""),"",S144*Settings!$B$10)</f>
        <v/>
      </c>
      <c r="U144" s="41" t="str">
        <f aca="false">IF(OR(K144="",G144=""),"",(S144+T144)*IF(N144="",Settings!$B$5,N144))</f>
        <v/>
      </c>
      <c r="V144" s="41" t="str">
        <f aca="false">IF(OR(K144="",G144=""),"",IF(S144+T144&lt;=Settings!$B$8,Settings!$B$6,Settings!$B$7))</f>
        <v/>
      </c>
      <c r="W144" s="41" t="str">
        <f aca="false">IF(OR(K144="",G144=""),"",S144*IF(UPPER(O144)="Y",Settings!$B$9,0))</f>
        <v/>
      </c>
      <c r="X144" s="41" t="str">
        <f aca="false">IF(OR(K144="",G144=""),"",(S144+T144)*IF(M144="",Settings!$B$11,M144))</f>
        <v/>
      </c>
      <c r="Y144" s="41" t="str">
        <f aca="false">IF(OR(K144="",G144=""),"",U144+V144+W144+X144)</f>
        <v/>
      </c>
      <c r="Z144" s="41" t="str">
        <f aca="false">IF(OR(K144="",G144=""),"",S144-Y144)</f>
        <v/>
      </c>
      <c r="AA144" s="41" t="str">
        <f aca="false">IF(OR(K144="",G144=""),"",Z144*Settings!$B$12)</f>
        <v/>
      </c>
      <c r="AB144" s="41" t="str">
        <f aca="false">IF(OR(K144="",G144=""),"",S144*Settings!$B$13)</f>
        <v/>
      </c>
      <c r="AC144" s="44" t="str">
        <f aca="false">IF(OR(K144="",G144=""),"",Z144-AA144-AB144-J144)</f>
        <v/>
      </c>
      <c r="AD144" s="45" t="str">
        <f aca="false">IF(OR(K144="",G144=""),"",AC144*Settings!$B$14)</f>
        <v/>
      </c>
      <c r="AE144" s="43" t="str">
        <f aca="false">IF(OR(K144="",G144=""),"",IF(S144=0,"",AC144/S144))</f>
        <v/>
      </c>
      <c r="AF144" s="43" t="str">
        <f aca="false">IF(OR(K144="",G144=""),"",IF(J144=0,"",AC144/J144))</f>
        <v/>
      </c>
      <c r="AG144" s="41" t="str">
        <f aca="false">IF(OR(K144="",G144=""),"",(J144+V144)/(1-(1+Settings!$B$10)*(IF(N144="",Settings!$B$5,N144)+IF(M144="",Settings!$B$11,M144))-IF(UPPER(O144)="Y",Settings!$B$9,0)-Settings!$B$13-Settings!$B$12)-N(L144))</f>
        <v/>
      </c>
      <c r="AH144" s="41" t="str">
        <f aca="false">IF(OR(K144="",G144=""),"",(J144+V144+Settings!$B$15)/(1-(1+Settings!$B$10)*(IF(N144="",Settings!$B$5,N144)+IF(M144="",Settings!$B$11,M144))-IF(UPPER(O144)="Y",Settings!$B$9,0)-Settings!$B$13-Settings!$B$12)-N(L144))</f>
        <v/>
      </c>
      <c r="AI144" s="46" t="str">
        <f aca="false">IF(C144="","",IF(OR(ISNUMBER(SEARCH("amazon",C144)),ISNUMBER(SEARCH("walmart",C144)),ISNUMBER(SEARCH("aliexpress",C144)),ISNUMBER(SEARCH("temu",C144))),"⚠ Retail source — not allowed","✓ Wholesale / own stock"))</f>
        <v/>
      </c>
      <c r="AJ144" s="47" t="str">
        <f aca="false">IF(OR(K144="",G144=""),"",IF(LEFT(AI144,1)="⚠","❌ SKIP",IF(AND(AC144&gt;=Settings!$B$15,AF144&gt;=Settings!$B$16,OR(R144="",N(R144)&gt;=Settings!$B$17)),"✅ GO",IF(AC144&gt;0,"⚠ CHECK","❌ SKIP"))))</f>
        <v/>
      </c>
      <c r="AK144" s="38"/>
    </row>
    <row r="145" customFormat="false" ht="15" hidden="false" customHeight="false" outlineLevel="0" collapsed="false">
      <c r="A145" s="37" t="str">
        <f aca="false">IF(B145="","",ROW()-4)</f>
        <v/>
      </c>
      <c r="B145" s="38"/>
      <c r="C145" s="39"/>
      <c r="D145" s="38"/>
      <c r="E145" s="38"/>
      <c r="F145" s="38"/>
      <c r="G145" s="40"/>
      <c r="H145" s="40"/>
      <c r="I145" s="40"/>
      <c r="J145" s="41" t="str">
        <f aca="false">IF(G145="","",G145+N(H145)+N(I145))</f>
        <v/>
      </c>
      <c r="K145" s="40"/>
      <c r="L145" s="40"/>
      <c r="M145" s="42"/>
      <c r="N145" s="42"/>
      <c r="O145" s="39"/>
      <c r="P145" s="38"/>
      <c r="Q145" s="38"/>
      <c r="R145" s="43" t="str">
        <f aca="false">IF(OR(P145="",Q145=""),"",P145/(P145+Q145))</f>
        <v/>
      </c>
      <c r="S145" s="41" t="str">
        <f aca="false">IF(OR(K145="",G145=""),"",K145+N(L145))</f>
        <v/>
      </c>
      <c r="T145" s="41" t="str">
        <f aca="false">IF(OR(K145="",G145=""),"",S145*Settings!$B$10)</f>
        <v/>
      </c>
      <c r="U145" s="41" t="str">
        <f aca="false">IF(OR(K145="",G145=""),"",(S145+T145)*IF(N145="",Settings!$B$5,N145))</f>
        <v/>
      </c>
      <c r="V145" s="41" t="str">
        <f aca="false">IF(OR(K145="",G145=""),"",IF(S145+T145&lt;=Settings!$B$8,Settings!$B$6,Settings!$B$7))</f>
        <v/>
      </c>
      <c r="W145" s="41" t="str">
        <f aca="false">IF(OR(K145="",G145=""),"",S145*IF(UPPER(O145)="Y",Settings!$B$9,0))</f>
        <v/>
      </c>
      <c r="X145" s="41" t="str">
        <f aca="false">IF(OR(K145="",G145=""),"",(S145+T145)*IF(M145="",Settings!$B$11,M145))</f>
        <v/>
      </c>
      <c r="Y145" s="41" t="str">
        <f aca="false">IF(OR(K145="",G145=""),"",U145+V145+W145+X145)</f>
        <v/>
      </c>
      <c r="Z145" s="41" t="str">
        <f aca="false">IF(OR(K145="",G145=""),"",S145-Y145)</f>
        <v/>
      </c>
      <c r="AA145" s="41" t="str">
        <f aca="false">IF(OR(K145="",G145=""),"",Z145*Settings!$B$12)</f>
        <v/>
      </c>
      <c r="AB145" s="41" t="str">
        <f aca="false">IF(OR(K145="",G145=""),"",S145*Settings!$B$13)</f>
        <v/>
      </c>
      <c r="AC145" s="44" t="str">
        <f aca="false">IF(OR(K145="",G145=""),"",Z145-AA145-AB145-J145)</f>
        <v/>
      </c>
      <c r="AD145" s="45" t="str">
        <f aca="false">IF(OR(K145="",G145=""),"",AC145*Settings!$B$14)</f>
        <v/>
      </c>
      <c r="AE145" s="43" t="str">
        <f aca="false">IF(OR(K145="",G145=""),"",IF(S145=0,"",AC145/S145))</f>
        <v/>
      </c>
      <c r="AF145" s="43" t="str">
        <f aca="false">IF(OR(K145="",G145=""),"",IF(J145=0,"",AC145/J145))</f>
        <v/>
      </c>
      <c r="AG145" s="41" t="str">
        <f aca="false">IF(OR(K145="",G145=""),"",(J145+V145)/(1-(1+Settings!$B$10)*(IF(N145="",Settings!$B$5,N145)+IF(M145="",Settings!$B$11,M145))-IF(UPPER(O145)="Y",Settings!$B$9,0)-Settings!$B$13-Settings!$B$12)-N(L145))</f>
        <v/>
      </c>
      <c r="AH145" s="41" t="str">
        <f aca="false">IF(OR(K145="",G145=""),"",(J145+V145+Settings!$B$15)/(1-(1+Settings!$B$10)*(IF(N145="",Settings!$B$5,N145)+IF(M145="",Settings!$B$11,M145))-IF(UPPER(O145)="Y",Settings!$B$9,0)-Settings!$B$13-Settings!$B$12)-N(L145))</f>
        <v/>
      </c>
      <c r="AI145" s="46" t="str">
        <f aca="false">IF(C145="","",IF(OR(ISNUMBER(SEARCH("amazon",C145)),ISNUMBER(SEARCH("walmart",C145)),ISNUMBER(SEARCH("aliexpress",C145)),ISNUMBER(SEARCH("temu",C145))),"⚠ Retail source — not allowed","✓ Wholesale / own stock"))</f>
        <v/>
      </c>
      <c r="AJ145" s="47" t="str">
        <f aca="false">IF(OR(K145="",G145=""),"",IF(LEFT(AI145,1)="⚠","❌ SKIP",IF(AND(AC145&gt;=Settings!$B$15,AF145&gt;=Settings!$B$16,OR(R145="",N(R145)&gt;=Settings!$B$17)),"✅ GO",IF(AC145&gt;0,"⚠ CHECK","❌ SKIP"))))</f>
        <v/>
      </c>
      <c r="AK145" s="38"/>
    </row>
    <row r="146" customFormat="false" ht="15" hidden="false" customHeight="false" outlineLevel="0" collapsed="false">
      <c r="A146" s="37" t="str">
        <f aca="false">IF(B146="","",ROW()-4)</f>
        <v/>
      </c>
      <c r="B146" s="38"/>
      <c r="C146" s="39"/>
      <c r="D146" s="38"/>
      <c r="E146" s="38"/>
      <c r="F146" s="38"/>
      <c r="G146" s="40"/>
      <c r="H146" s="40"/>
      <c r="I146" s="40"/>
      <c r="J146" s="41" t="str">
        <f aca="false">IF(G146="","",G146+N(H146)+N(I146))</f>
        <v/>
      </c>
      <c r="K146" s="40"/>
      <c r="L146" s="40"/>
      <c r="M146" s="42"/>
      <c r="N146" s="42"/>
      <c r="O146" s="39"/>
      <c r="P146" s="38"/>
      <c r="Q146" s="38"/>
      <c r="R146" s="43" t="str">
        <f aca="false">IF(OR(P146="",Q146=""),"",P146/(P146+Q146))</f>
        <v/>
      </c>
      <c r="S146" s="41" t="str">
        <f aca="false">IF(OR(K146="",G146=""),"",K146+N(L146))</f>
        <v/>
      </c>
      <c r="T146" s="41" t="str">
        <f aca="false">IF(OR(K146="",G146=""),"",S146*Settings!$B$10)</f>
        <v/>
      </c>
      <c r="U146" s="41" t="str">
        <f aca="false">IF(OR(K146="",G146=""),"",(S146+T146)*IF(N146="",Settings!$B$5,N146))</f>
        <v/>
      </c>
      <c r="V146" s="41" t="str">
        <f aca="false">IF(OR(K146="",G146=""),"",IF(S146+T146&lt;=Settings!$B$8,Settings!$B$6,Settings!$B$7))</f>
        <v/>
      </c>
      <c r="W146" s="41" t="str">
        <f aca="false">IF(OR(K146="",G146=""),"",S146*IF(UPPER(O146)="Y",Settings!$B$9,0))</f>
        <v/>
      </c>
      <c r="X146" s="41" t="str">
        <f aca="false">IF(OR(K146="",G146=""),"",(S146+T146)*IF(M146="",Settings!$B$11,M146))</f>
        <v/>
      </c>
      <c r="Y146" s="41" t="str">
        <f aca="false">IF(OR(K146="",G146=""),"",U146+V146+W146+X146)</f>
        <v/>
      </c>
      <c r="Z146" s="41" t="str">
        <f aca="false">IF(OR(K146="",G146=""),"",S146-Y146)</f>
        <v/>
      </c>
      <c r="AA146" s="41" t="str">
        <f aca="false">IF(OR(K146="",G146=""),"",Z146*Settings!$B$12)</f>
        <v/>
      </c>
      <c r="AB146" s="41" t="str">
        <f aca="false">IF(OR(K146="",G146=""),"",S146*Settings!$B$13)</f>
        <v/>
      </c>
      <c r="AC146" s="44" t="str">
        <f aca="false">IF(OR(K146="",G146=""),"",Z146-AA146-AB146-J146)</f>
        <v/>
      </c>
      <c r="AD146" s="45" t="str">
        <f aca="false">IF(OR(K146="",G146=""),"",AC146*Settings!$B$14)</f>
        <v/>
      </c>
      <c r="AE146" s="43" t="str">
        <f aca="false">IF(OR(K146="",G146=""),"",IF(S146=0,"",AC146/S146))</f>
        <v/>
      </c>
      <c r="AF146" s="43" t="str">
        <f aca="false">IF(OR(K146="",G146=""),"",IF(J146=0,"",AC146/J146))</f>
        <v/>
      </c>
      <c r="AG146" s="41" t="str">
        <f aca="false">IF(OR(K146="",G146=""),"",(J146+V146)/(1-(1+Settings!$B$10)*(IF(N146="",Settings!$B$5,N146)+IF(M146="",Settings!$B$11,M146))-IF(UPPER(O146)="Y",Settings!$B$9,0)-Settings!$B$13-Settings!$B$12)-N(L146))</f>
        <v/>
      </c>
      <c r="AH146" s="41" t="str">
        <f aca="false">IF(OR(K146="",G146=""),"",(J146+V146+Settings!$B$15)/(1-(1+Settings!$B$10)*(IF(N146="",Settings!$B$5,N146)+IF(M146="",Settings!$B$11,M146))-IF(UPPER(O146)="Y",Settings!$B$9,0)-Settings!$B$13-Settings!$B$12)-N(L146))</f>
        <v/>
      </c>
      <c r="AI146" s="46" t="str">
        <f aca="false">IF(C146="","",IF(OR(ISNUMBER(SEARCH("amazon",C146)),ISNUMBER(SEARCH("walmart",C146)),ISNUMBER(SEARCH("aliexpress",C146)),ISNUMBER(SEARCH("temu",C146))),"⚠ Retail source — not allowed","✓ Wholesale / own stock"))</f>
        <v/>
      </c>
      <c r="AJ146" s="47" t="str">
        <f aca="false">IF(OR(K146="",G146=""),"",IF(LEFT(AI146,1)="⚠","❌ SKIP",IF(AND(AC146&gt;=Settings!$B$15,AF146&gt;=Settings!$B$16,OR(R146="",N(R146)&gt;=Settings!$B$17)),"✅ GO",IF(AC146&gt;0,"⚠ CHECK","❌ SKIP"))))</f>
        <v/>
      </c>
      <c r="AK146" s="38"/>
    </row>
    <row r="147" customFormat="false" ht="15" hidden="false" customHeight="false" outlineLevel="0" collapsed="false">
      <c r="A147" s="37" t="str">
        <f aca="false">IF(B147="","",ROW()-4)</f>
        <v/>
      </c>
      <c r="B147" s="38"/>
      <c r="C147" s="39"/>
      <c r="D147" s="38"/>
      <c r="E147" s="38"/>
      <c r="F147" s="38"/>
      <c r="G147" s="40"/>
      <c r="H147" s="40"/>
      <c r="I147" s="40"/>
      <c r="J147" s="41" t="str">
        <f aca="false">IF(G147="","",G147+N(H147)+N(I147))</f>
        <v/>
      </c>
      <c r="K147" s="40"/>
      <c r="L147" s="40"/>
      <c r="M147" s="42"/>
      <c r="N147" s="42"/>
      <c r="O147" s="39"/>
      <c r="P147" s="38"/>
      <c r="Q147" s="38"/>
      <c r="R147" s="43" t="str">
        <f aca="false">IF(OR(P147="",Q147=""),"",P147/(P147+Q147))</f>
        <v/>
      </c>
      <c r="S147" s="41" t="str">
        <f aca="false">IF(OR(K147="",G147=""),"",K147+N(L147))</f>
        <v/>
      </c>
      <c r="T147" s="41" t="str">
        <f aca="false">IF(OR(K147="",G147=""),"",S147*Settings!$B$10)</f>
        <v/>
      </c>
      <c r="U147" s="41" t="str">
        <f aca="false">IF(OR(K147="",G147=""),"",(S147+T147)*IF(N147="",Settings!$B$5,N147))</f>
        <v/>
      </c>
      <c r="V147" s="41" t="str">
        <f aca="false">IF(OR(K147="",G147=""),"",IF(S147+T147&lt;=Settings!$B$8,Settings!$B$6,Settings!$B$7))</f>
        <v/>
      </c>
      <c r="W147" s="41" t="str">
        <f aca="false">IF(OR(K147="",G147=""),"",S147*IF(UPPER(O147)="Y",Settings!$B$9,0))</f>
        <v/>
      </c>
      <c r="X147" s="41" t="str">
        <f aca="false">IF(OR(K147="",G147=""),"",(S147+T147)*IF(M147="",Settings!$B$11,M147))</f>
        <v/>
      </c>
      <c r="Y147" s="41" t="str">
        <f aca="false">IF(OR(K147="",G147=""),"",U147+V147+W147+X147)</f>
        <v/>
      </c>
      <c r="Z147" s="41" t="str">
        <f aca="false">IF(OR(K147="",G147=""),"",S147-Y147)</f>
        <v/>
      </c>
      <c r="AA147" s="41" t="str">
        <f aca="false">IF(OR(K147="",G147=""),"",Z147*Settings!$B$12)</f>
        <v/>
      </c>
      <c r="AB147" s="41" t="str">
        <f aca="false">IF(OR(K147="",G147=""),"",S147*Settings!$B$13)</f>
        <v/>
      </c>
      <c r="AC147" s="44" t="str">
        <f aca="false">IF(OR(K147="",G147=""),"",Z147-AA147-AB147-J147)</f>
        <v/>
      </c>
      <c r="AD147" s="45" t="str">
        <f aca="false">IF(OR(K147="",G147=""),"",AC147*Settings!$B$14)</f>
        <v/>
      </c>
      <c r="AE147" s="43" t="str">
        <f aca="false">IF(OR(K147="",G147=""),"",IF(S147=0,"",AC147/S147))</f>
        <v/>
      </c>
      <c r="AF147" s="43" t="str">
        <f aca="false">IF(OR(K147="",G147=""),"",IF(J147=0,"",AC147/J147))</f>
        <v/>
      </c>
      <c r="AG147" s="41" t="str">
        <f aca="false">IF(OR(K147="",G147=""),"",(J147+V147)/(1-(1+Settings!$B$10)*(IF(N147="",Settings!$B$5,N147)+IF(M147="",Settings!$B$11,M147))-IF(UPPER(O147)="Y",Settings!$B$9,0)-Settings!$B$13-Settings!$B$12)-N(L147))</f>
        <v/>
      </c>
      <c r="AH147" s="41" t="str">
        <f aca="false">IF(OR(K147="",G147=""),"",(J147+V147+Settings!$B$15)/(1-(1+Settings!$B$10)*(IF(N147="",Settings!$B$5,N147)+IF(M147="",Settings!$B$11,M147))-IF(UPPER(O147)="Y",Settings!$B$9,0)-Settings!$B$13-Settings!$B$12)-N(L147))</f>
        <v/>
      </c>
      <c r="AI147" s="46" t="str">
        <f aca="false">IF(C147="","",IF(OR(ISNUMBER(SEARCH("amazon",C147)),ISNUMBER(SEARCH("walmart",C147)),ISNUMBER(SEARCH("aliexpress",C147)),ISNUMBER(SEARCH("temu",C147))),"⚠ Retail source — not allowed","✓ Wholesale / own stock"))</f>
        <v/>
      </c>
      <c r="AJ147" s="47" t="str">
        <f aca="false">IF(OR(K147="",G147=""),"",IF(LEFT(AI147,1)="⚠","❌ SKIP",IF(AND(AC147&gt;=Settings!$B$15,AF147&gt;=Settings!$B$16,OR(R147="",N(R147)&gt;=Settings!$B$17)),"✅ GO",IF(AC147&gt;0,"⚠ CHECK","❌ SKIP"))))</f>
        <v/>
      </c>
      <c r="AK147" s="38"/>
    </row>
    <row r="148" customFormat="false" ht="15" hidden="false" customHeight="false" outlineLevel="0" collapsed="false">
      <c r="A148" s="37" t="str">
        <f aca="false">IF(B148="","",ROW()-4)</f>
        <v/>
      </c>
      <c r="B148" s="38"/>
      <c r="C148" s="39"/>
      <c r="D148" s="38"/>
      <c r="E148" s="38"/>
      <c r="F148" s="38"/>
      <c r="G148" s="40"/>
      <c r="H148" s="40"/>
      <c r="I148" s="40"/>
      <c r="J148" s="41" t="str">
        <f aca="false">IF(G148="","",G148+N(H148)+N(I148))</f>
        <v/>
      </c>
      <c r="K148" s="40"/>
      <c r="L148" s="40"/>
      <c r="M148" s="42"/>
      <c r="N148" s="42"/>
      <c r="O148" s="39"/>
      <c r="P148" s="38"/>
      <c r="Q148" s="38"/>
      <c r="R148" s="43" t="str">
        <f aca="false">IF(OR(P148="",Q148=""),"",P148/(P148+Q148))</f>
        <v/>
      </c>
      <c r="S148" s="41" t="str">
        <f aca="false">IF(OR(K148="",G148=""),"",K148+N(L148))</f>
        <v/>
      </c>
      <c r="T148" s="41" t="str">
        <f aca="false">IF(OR(K148="",G148=""),"",S148*Settings!$B$10)</f>
        <v/>
      </c>
      <c r="U148" s="41" t="str">
        <f aca="false">IF(OR(K148="",G148=""),"",(S148+T148)*IF(N148="",Settings!$B$5,N148))</f>
        <v/>
      </c>
      <c r="V148" s="41" t="str">
        <f aca="false">IF(OR(K148="",G148=""),"",IF(S148+T148&lt;=Settings!$B$8,Settings!$B$6,Settings!$B$7))</f>
        <v/>
      </c>
      <c r="W148" s="41" t="str">
        <f aca="false">IF(OR(K148="",G148=""),"",S148*IF(UPPER(O148)="Y",Settings!$B$9,0))</f>
        <v/>
      </c>
      <c r="X148" s="41" t="str">
        <f aca="false">IF(OR(K148="",G148=""),"",(S148+T148)*IF(M148="",Settings!$B$11,M148))</f>
        <v/>
      </c>
      <c r="Y148" s="41" t="str">
        <f aca="false">IF(OR(K148="",G148=""),"",U148+V148+W148+X148)</f>
        <v/>
      </c>
      <c r="Z148" s="41" t="str">
        <f aca="false">IF(OR(K148="",G148=""),"",S148-Y148)</f>
        <v/>
      </c>
      <c r="AA148" s="41" t="str">
        <f aca="false">IF(OR(K148="",G148=""),"",Z148*Settings!$B$12)</f>
        <v/>
      </c>
      <c r="AB148" s="41" t="str">
        <f aca="false">IF(OR(K148="",G148=""),"",S148*Settings!$B$13)</f>
        <v/>
      </c>
      <c r="AC148" s="44" t="str">
        <f aca="false">IF(OR(K148="",G148=""),"",Z148-AA148-AB148-J148)</f>
        <v/>
      </c>
      <c r="AD148" s="45" t="str">
        <f aca="false">IF(OR(K148="",G148=""),"",AC148*Settings!$B$14)</f>
        <v/>
      </c>
      <c r="AE148" s="43" t="str">
        <f aca="false">IF(OR(K148="",G148=""),"",IF(S148=0,"",AC148/S148))</f>
        <v/>
      </c>
      <c r="AF148" s="43" t="str">
        <f aca="false">IF(OR(K148="",G148=""),"",IF(J148=0,"",AC148/J148))</f>
        <v/>
      </c>
      <c r="AG148" s="41" t="str">
        <f aca="false">IF(OR(K148="",G148=""),"",(J148+V148)/(1-(1+Settings!$B$10)*(IF(N148="",Settings!$B$5,N148)+IF(M148="",Settings!$B$11,M148))-IF(UPPER(O148)="Y",Settings!$B$9,0)-Settings!$B$13-Settings!$B$12)-N(L148))</f>
        <v/>
      </c>
      <c r="AH148" s="41" t="str">
        <f aca="false">IF(OR(K148="",G148=""),"",(J148+V148+Settings!$B$15)/(1-(1+Settings!$B$10)*(IF(N148="",Settings!$B$5,N148)+IF(M148="",Settings!$B$11,M148))-IF(UPPER(O148)="Y",Settings!$B$9,0)-Settings!$B$13-Settings!$B$12)-N(L148))</f>
        <v/>
      </c>
      <c r="AI148" s="46" t="str">
        <f aca="false">IF(C148="","",IF(OR(ISNUMBER(SEARCH("amazon",C148)),ISNUMBER(SEARCH("walmart",C148)),ISNUMBER(SEARCH("aliexpress",C148)),ISNUMBER(SEARCH("temu",C148))),"⚠ Retail source — not allowed","✓ Wholesale / own stock"))</f>
        <v/>
      </c>
      <c r="AJ148" s="47" t="str">
        <f aca="false">IF(OR(K148="",G148=""),"",IF(LEFT(AI148,1)="⚠","❌ SKIP",IF(AND(AC148&gt;=Settings!$B$15,AF148&gt;=Settings!$B$16,OR(R148="",N(R148)&gt;=Settings!$B$17)),"✅ GO",IF(AC148&gt;0,"⚠ CHECK","❌ SKIP"))))</f>
        <v/>
      </c>
      <c r="AK148" s="38"/>
    </row>
    <row r="149" customFormat="false" ht="15" hidden="false" customHeight="false" outlineLevel="0" collapsed="false">
      <c r="A149" s="37" t="str">
        <f aca="false">IF(B149="","",ROW()-4)</f>
        <v/>
      </c>
      <c r="B149" s="38"/>
      <c r="C149" s="39"/>
      <c r="D149" s="38"/>
      <c r="E149" s="38"/>
      <c r="F149" s="38"/>
      <c r="G149" s="40"/>
      <c r="H149" s="40"/>
      <c r="I149" s="40"/>
      <c r="J149" s="41" t="str">
        <f aca="false">IF(G149="","",G149+N(H149)+N(I149))</f>
        <v/>
      </c>
      <c r="K149" s="40"/>
      <c r="L149" s="40"/>
      <c r="M149" s="42"/>
      <c r="N149" s="42"/>
      <c r="O149" s="39"/>
      <c r="P149" s="38"/>
      <c r="Q149" s="38"/>
      <c r="R149" s="43" t="str">
        <f aca="false">IF(OR(P149="",Q149=""),"",P149/(P149+Q149))</f>
        <v/>
      </c>
      <c r="S149" s="41" t="str">
        <f aca="false">IF(OR(K149="",G149=""),"",K149+N(L149))</f>
        <v/>
      </c>
      <c r="T149" s="41" t="str">
        <f aca="false">IF(OR(K149="",G149=""),"",S149*Settings!$B$10)</f>
        <v/>
      </c>
      <c r="U149" s="41" t="str">
        <f aca="false">IF(OR(K149="",G149=""),"",(S149+T149)*IF(N149="",Settings!$B$5,N149))</f>
        <v/>
      </c>
      <c r="V149" s="41" t="str">
        <f aca="false">IF(OR(K149="",G149=""),"",IF(S149+T149&lt;=Settings!$B$8,Settings!$B$6,Settings!$B$7))</f>
        <v/>
      </c>
      <c r="W149" s="41" t="str">
        <f aca="false">IF(OR(K149="",G149=""),"",S149*IF(UPPER(O149)="Y",Settings!$B$9,0))</f>
        <v/>
      </c>
      <c r="X149" s="41" t="str">
        <f aca="false">IF(OR(K149="",G149=""),"",(S149+T149)*IF(M149="",Settings!$B$11,M149))</f>
        <v/>
      </c>
      <c r="Y149" s="41" t="str">
        <f aca="false">IF(OR(K149="",G149=""),"",U149+V149+W149+X149)</f>
        <v/>
      </c>
      <c r="Z149" s="41" t="str">
        <f aca="false">IF(OR(K149="",G149=""),"",S149-Y149)</f>
        <v/>
      </c>
      <c r="AA149" s="41" t="str">
        <f aca="false">IF(OR(K149="",G149=""),"",Z149*Settings!$B$12)</f>
        <v/>
      </c>
      <c r="AB149" s="41" t="str">
        <f aca="false">IF(OR(K149="",G149=""),"",S149*Settings!$B$13)</f>
        <v/>
      </c>
      <c r="AC149" s="44" t="str">
        <f aca="false">IF(OR(K149="",G149=""),"",Z149-AA149-AB149-J149)</f>
        <v/>
      </c>
      <c r="AD149" s="45" t="str">
        <f aca="false">IF(OR(K149="",G149=""),"",AC149*Settings!$B$14)</f>
        <v/>
      </c>
      <c r="AE149" s="43" t="str">
        <f aca="false">IF(OR(K149="",G149=""),"",IF(S149=0,"",AC149/S149))</f>
        <v/>
      </c>
      <c r="AF149" s="43" t="str">
        <f aca="false">IF(OR(K149="",G149=""),"",IF(J149=0,"",AC149/J149))</f>
        <v/>
      </c>
      <c r="AG149" s="41" t="str">
        <f aca="false">IF(OR(K149="",G149=""),"",(J149+V149)/(1-(1+Settings!$B$10)*(IF(N149="",Settings!$B$5,N149)+IF(M149="",Settings!$B$11,M149))-IF(UPPER(O149)="Y",Settings!$B$9,0)-Settings!$B$13-Settings!$B$12)-N(L149))</f>
        <v/>
      </c>
      <c r="AH149" s="41" t="str">
        <f aca="false">IF(OR(K149="",G149=""),"",(J149+V149+Settings!$B$15)/(1-(1+Settings!$B$10)*(IF(N149="",Settings!$B$5,N149)+IF(M149="",Settings!$B$11,M149))-IF(UPPER(O149)="Y",Settings!$B$9,0)-Settings!$B$13-Settings!$B$12)-N(L149))</f>
        <v/>
      </c>
      <c r="AI149" s="46" t="str">
        <f aca="false">IF(C149="","",IF(OR(ISNUMBER(SEARCH("amazon",C149)),ISNUMBER(SEARCH("walmart",C149)),ISNUMBER(SEARCH("aliexpress",C149)),ISNUMBER(SEARCH("temu",C149))),"⚠ Retail source — not allowed","✓ Wholesale / own stock"))</f>
        <v/>
      </c>
      <c r="AJ149" s="47" t="str">
        <f aca="false">IF(OR(K149="",G149=""),"",IF(LEFT(AI149,1)="⚠","❌ SKIP",IF(AND(AC149&gt;=Settings!$B$15,AF149&gt;=Settings!$B$16,OR(R149="",N(R149)&gt;=Settings!$B$17)),"✅ GO",IF(AC149&gt;0,"⚠ CHECK","❌ SKIP"))))</f>
        <v/>
      </c>
      <c r="AK149" s="38"/>
    </row>
    <row r="150" customFormat="false" ht="15" hidden="false" customHeight="false" outlineLevel="0" collapsed="false">
      <c r="A150" s="37" t="str">
        <f aca="false">IF(B150="","",ROW()-4)</f>
        <v/>
      </c>
      <c r="B150" s="38"/>
      <c r="C150" s="39"/>
      <c r="D150" s="38"/>
      <c r="E150" s="38"/>
      <c r="F150" s="38"/>
      <c r="G150" s="40"/>
      <c r="H150" s="40"/>
      <c r="I150" s="40"/>
      <c r="J150" s="41" t="str">
        <f aca="false">IF(G150="","",G150+N(H150)+N(I150))</f>
        <v/>
      </c>
      <c r="K150" s="40"/>
      <c r="L150" s="40"/>
      <c r="M150" s="42"/>
      <c r="N150" s="42"/>
      <c r="O150" s="39"/>
      <c r="P150" s="38"/>
      <c r="Q150" s="38"/>
      <c r="R150" s="43" t="str">
        <f aca="false">IF(OR(P150="",Q150=""),"",P150/(P150+Q150))</f>
        <v/>
      </c>
      <c r="S150" s="41" t="str">
        <f aca="false">IF(OR(K150="",G150=""),"",K150+N(L150))</f>
        <v/>
      </c>
      <c r="T150" s="41" t="str">
        <f aca="false">IF(OR(K150="",G150=""),"",S150*Settings!$B$10)</f>
        <v/>
      </c>
      <c r="U150" s="41" t="str">
        <f aca="false">IF(OR(K150="",G150=""),"",(S150+T150)*IF(N150="",Settings!$B$5,N150))</f>
        <v/>
      </c>
      <c r="V150" s="41" t="str">
        <f aca="false">IF(OR(K150="",G150=""),"",IF(S150+T150&lt;=Settings!$B$8,Settings!$B$6,Settings!$B$7))</f>
        <v/>
      </c>
      <c r="W150" s="41" t="str">
        <f aca="false">IF(OR(K150="",G150=""),"",S150*IF(UPPER(O150)="Y",Settings!$B$9,0))</f>
        <v/>
      </c>
      <c r="X150" s="41" t="str">
        <f aca="false">IF(OR(K150="",G150=""),"",(S150+T150)*IF(M150="",Settings!$B$11,M150))</f>
        <v/>
      </c>
      <c r="Y150" s="41" t="str">
        <f aca="false">IF(OR(K150="",G150=""),"",U150+V150+W150+X150)</f>
        <v/>
      </c>
      <c r="Z150" s="41" t="str">
        <f aca="false">IF(OR(K150="",G150=""),"",S150-Y150)</f>
        <v/>
      </c>
      <c r="AA150" s="41" t="str">
        <f aca="false">IF(OR(K150="",G150=""),"",Z150*Settings!$B$12)</f>
        <v/>
      </c>
      <c r="AB150" s="41" t="str">
        <f aca="false">IF(OR(K150="",G150=""),"",S150*Settings!$B$13)</f>
        <v/>
      </c>
      <c r="AC150" s="44" t="str">
        <f aca="false">IF(OR(K150="",G150=""),"",Z150-AA150-AB150-J150)</f>
        <v/>
      </c>
      <c r="AD150" s="45" t="str">
        <f aca="false">IF(OR(K150="",G150=""),"",AC150*Settings!$B$14)</f>
        <v/>
      </c>
      <c r="AE150" s="43" t="str">
        <f aca="false">IF(OR(K150="",G150=""),"",IF(S150=0,"",AC150/S150))</f>
        <v/>
      </c>
      <c r="AF150" s="43" t="str">
        <f aca="false">IF(OR(K150="",G150=""),"",IF(J150=0,"",AC150/J150))</f>
        <v/>
      </c>
      <c r="AG150" s="41" t="str">
        <f aca="false">IF(OR(K150="",G150=""),"",(J150+V150)/(1-(1+Settings!$B$10)*(IF(N150="",Settings!$B$5,N150)+IF(M150="",Settings!$B$11,M150))-IF(UPPER(O150)="Y",Settings!$B$9,0)-Settings!$B$13-Settings!$B$12)-N(L150))</f>
        <v/>
      </c>
      <c r="AH150" s="41" t="str">
        <f aca="false">IF(OR(K150="",G150=""),"",(J150+V150+Settings!$B$15)/(1-(1+Settings!$B$10)*(IF(N150="",Settings!$B$5,N150)+IF(M150="",Settings!$B$11,M150))-IF(UPPER(O150)="Y",Settings!$B$9,0)-Settings!$B$13-Settings!$B$12)-N(L150))</f>
        <v/>
      </c>
      <c r="AI150" s="46" t="str">
        <f aca="false">IF(C150="","",IF(OR(ISNUMBER(SEARCH("amazon",C150)),ISNUMBER(SEARCH("walmart",C150)),ISNUMBER(SEARCH("aliexpress",C150)),ISNUMBER(SEARCH("temu",C150))),"⚠ Retail source — not allowed","✓ Wholesale / own stock"))</f>
        <v/>
      </c>
      <c r="AJ150" s="47" t="str">
        <f aca="false">IF(OR(K150="",G150=""),"",IF(LEFT(AI150,1)="⚠","❌ SKIP",IF(AND(AC150&gt;=Settings!$B$15,AF150&gt;=Settings!$B$16,OR(R150="",N(R150)&gt;=Settings!$B$17)),"✅ GO",IF(AC150&gt;0,"⚠ CHECK","❌ SKIP"))))</f>
        <v/>
      </c>
      <c r="AK150" s="38"/>
    </row>
    <row r="151" customFormat="false" ht="15" hidden="false" customHeight="false" outlineLevel="0" collapsed="false">
      <c r="A151" s="37" t="str">
        <f aca="false">IF(B151="","",ROW()-4)</f>
        <v/>
      </c>
      <c r="B151" s="38"/>
      <c r="C151" s="39"/>
      <c r="D151" s="38"/>
      <c r="E151" s="38"/>
      <c r="F151" s="38"/>
      <c r="G151" s="40"/>
      <c r="H151" s="40"/>
      <c r="I151" s="40"/>
      <c r="J151" s="41" t="str">
        <f aca="false">IF(G151="","",G151+N(H151)+N(I151))</f>
        <v/>
      </c>
      <c r="K151" s="40"/>
      <c r="L151" s="40"/>
      <c r="M151" s="42"/>
      <c r="N151" s="42"/>
      <c r="O151" s="39"/>
      <c r="P151" s="38"/>
      <c r="Q151" s="38"/>
      <c r="R151" s="43" t="str">
        <f aca="false">IF(OR(P151="",Q151=""),"",P151/(P151+Q151))</f>
        <v/>
      </c>
      <c r="S151" s="41" t="str">
        <f aca="false">IF(OR(K151="",G151=""),"",K151+N(L151))</f>
        <v/>
      </c>
      <c r="T151" s="41" t="str">
        <f aca="false">IF(OR(K151="",G151=""),"",S151*Settings!$B$10)</f>
        <v/>
      </c>
      <c r="U151" s="41" t="str">
        <f aca="false">IF(OR(K151="",G151=""),"",(S151+T151)*IF(N151="",Settings!$B$5,N151))</f>
        <v/>
      </c>
      <c r="V151" s="41" t="str">
        <f aca="false">IF(OR(K151="",G151=""),"",IF(S151+T151&lt;=Settings!$B$8,Settings!$B$6,Settings!$B$7))</f>
        <v/>
      </c>
      <c r="W151" s="41" t="str">
        <f aca="false">IF(OR(K151="",G151=""),"",S151*IF(UPPER(O151)="Y",Settings!$B$9,0))</f>
        <v/>
      </c>
      <c r="X151" s="41" t="str">
        <f aca="false">IF(OR(K151="",G151=""),"",(S151+T151)*IF(M151="",Settings!$B$11,M151))</f>
        <v/>
      </c>
      <c r="Y151" s="41" t="str">
        <f aca="false">IF(OR(K151="",G151=""),"",U151+V151+W151+X151)</f>
        <v/>
      </c>
      <c r="Z151" s="41" t="str">
        <f aca="false">IF(OR(K151="",G151=""),"",S151-Y151)</f>
        <v/>
      </c>
      <c r="AA151" s="41" t="str">
        <f aca="false">IF(OR(K151="",G151=""),"",Z151*Settings!$B$12)</f>
        <v/>
      </c>
      <c r="AB151" s="41" t="str">
        <f aca="false">IF(OR(K151="",G151=""),"",S151*Settings!$B$13)</f>
        <v/>
      </c>
      <c r="AC151" s="44" t="str">
        <f aca="false">IF(OR(K151="",G151=""),"",Z151-AA151-AB151-J151)</f>
        <v/>
      </c>
      <c r="AD151" s="45" t="str">
        <f aca="false">IF(OR(K151="",G151=""),"",AC151*Settings!$B$14)</f>
        <v/>
      </c>
      <c r="AE151" s="43" t="str">
        <f aca="false">IF(OR(K151="",G151=""),"",IF(S151=0,"",AC151/S151))</f>
        <v/>
      </c>
      <c r="AF151" s="43" t="str">
        <f aca="false">IF(OR(K151="",G151=""),"",IF(J151=0,"",AC151/J151))</f>
        <v/>
      </c>
      <c r="AG151" s="41" t="str">
        <f aca="false">IF(OR(K151="",G151=""),"",(J151+V151)/(1-(1+Settings!$B$10)*(IF(N151="",Settings!$B$5,N151)+IF(M151="",Settings!$B$11,M151))-IF(UPPER(O151)="Y",Settings!$B$9,0)-Settings!$B$13-Settings!$B$12)-N(L151))</f>
        <v/>
      </c>
      <c r="AH151" s="41" t="str">
        <f aca="false">IF(OR(K151="",G151=""),"",(J151+V151+Settings!$B$15)/(1-(1+Settings!$B$10)*(IF(N151="",Settings!$B$5,N151)+IF(M151="",Settings!$B$11,M151))-IF(UPPER(O151)="Y",Settings!$B$9,0)-Settings!$B$13-Settings!$B$12)-N(L151))</f>
        <v/>
      </c>
      <c r="AI151" s="46" t="str">
        <f aca="false">IF(C151="","",IF(OR(ISNUMBER(SEARCH("amazon",C151)),ISNUMBER(SEARCH("walmart",C151)),ISNUMBER(SEARCH("aliexpress",C151)),ISNUMBER(SEARCH("temu",C151))),"⚠ Retail source — not allowed","✓ Wholesale / own stock"))</f>
        <v/>
      </c>
      <c r="AJ151" s="47" t="str">
        <f aca="false">IF(OR(K151="",G151=""),"",IF(LEFT(AI151,1)="⚠","❌ SKIP",IF(AND(AC151&gt;=Settings!$B$15,AF151&gt;=Settings!$B$16,OR(R151="",N(R151)&gt;=Settings!$B$17)),"✅ GO",IF(AC151&gt;0,"⚠ CHECK","❌ SKIP"))))</f>
        <v/>
      </c>
      <c r="AK151" s="38"/>
    </row>
    <row r="152" customFormat="false" ht="15" hidden="false" customHeight="false" outlineLevel="0" collapsed="false">
      <c r="A152" s="37" t="str">
        <f aca="false">IF(B152="","",ROW()-4)</f>
        <v/>
      </c>
      <c r="B152" s="38"/>
      <c r="C152" s="39"/>
      <c r="D152" s="38"/>
      <c r="E152" s="38"/>
      <c r="F152" s="38"/>
      <c r="G152" s="40"/>
      <c r="H152" s="40"/>
      <c r="I152" s="40"/>
      <c r="J152" s="41" t="str">
        <f aca="false">IF(G152="","",G152+N(H152)+N(I152))</f>
        <v/>
      </c>
      <c r="K152" s="40"/>
      <c r="L152" s="40"/>
      <c r="M152" s="42"/>
      <c r="N152" s="42"/>
      <c r="O152" s="39"/>
      <c r="P152" s="38"/>
      <c r="Q152" s="38"/>
      <c r="R152" s="43" t="str">
        <f aca="false">IF(OR(P152="",Q152=""),"",P152/(P152+Q152))</f>
        <v/>
      </c>
      <c r="S152" s="41" t="str">
        <f aca="false">IF(OR(K152="",G152=""),"",K152+N(L152))</f>
        <v/>
      </c>
      <c r="T152" s="41" t="str">
        <f aca="false">IF(OR(K152="",G152=""),"",S152*Settings!$B$10)</f>
        <v/>
      </c>
      <c r="U152" s="41" t="str">
        <f aca="false">IF(OR(K152="",G152=""),"",(S152+T152)*IF(N152="",Settings!$B$5,N152))</f>
        <v/>
      </c>
      <c r="V152" s="41" t="str">
        <f aca="false">IF(OR(K152="",G152=""),"",IF(S152+T152&lt;=Settings!$B$8,Settings!$B$6,Settings!$B$7))</f>
        <v/>
      </c>
      <c r="W152" s="41" t="str">
        <f aca="false">IF(OR(K152="",G152=""),"",S152*IF(UPPER(O152)="Y",Settings!$B$9,0))</f>
        <v/>
      </c>
      <c r="X152" s="41" t="str">
        <f aca="false">IF(OR(K152="",G152=""),"",(S152+T152)*IF(M152="",Settings!$B$11,M152))</f>
        <v/>
      </c>
      <c r="Y152" s="41" t="str">
        <f aca="false">IF(OR(K152="",G152=""),"",U152+V152+W152+X152)</f>
        <v/>
      </c>
      <c r="Z152" s="41" t="str">
        <f aca="false">IF(OR(K152="",G152=""),"",S152-Y152)</f>
        <v/>
      </c>
      <c r="AA152" s="41" t="str">
        <f aca="false">IF(OR(K152="",G152=""),"",Z152*Settings!$B$12)</f>
        <v/>
      </c>
      <c r="AB152" s="41" t="str">
        <f aca="false">IF(OR(K152="",G152=""),"",S152*Settings!$B$13)</f>
        <v/>
      </c>
      <c r="AC152" s="44" t="str">
        <f aca="false">IF(OR(K152="",G152=""),"",Z152-AA152-AB152-J152)</f>
        <v/>
      </c>
      <c r="AD152" s="45" t="str">
        <f aca="false">IF(OR(K152="",G152=""),"",AC152*Settings!$B$14)</f>
        <v/>
      </c>
      <c r="AE152" s="43" t="str">
        <f aca="false">IF(OR(K152="",G152=""),"",IF(S152=0,"",AC152/S152))</f>
        <v/>
      </c>
      <c r="AF152" s="43" t="str">
        <f aca="false">IF(OR(K152="",G152=""),"",IF(J152=0,"",AC152/J152))</f>
        <v/>
      </c>
      <c r="AG152" s="41" t="str">
        <f aca="false">IF(OR(K152="",G152=""),"",(J152+V152)/(1-(1+Settings!$B$10)*(IF(N152="",Settings!$B$5,N152)+IF(M152="",Settings!$B$11,M152))-IF(UPPER(O152)="Y",Settings!$B$9,0)-Settings!$B$13-Settings!$B$12)-N(L152))</f>
        <v/>
      </c>
      <c r="AH152" s="41" t="str">
        <f aca="false">IF(OR(K152="",G152=""),"",(J152+V152+Settings!$B$15)/(1-(1+Settings!$B$10)*(IF(N152="",Settings!$B$5,N152)+IF(M152="",Settings!$B$11,M152))-IF(UPPER(O152)="Y",Settings!$B$9,0)-Settings!$B$13-Settings!$B$12)-N(L152))</f>
        <v/>
      </c>
      <c r="AI152" s="46" t="str">
        <f aca="false">IF(C152="","",IF(OR(ISNUMBER(SEARCH("amazon",C152)),ISNUMBER(SEARCH("walmart",C152)),ISNUMBER(SEARCH("aliexpress",C152)),ISNUMBER(SEARCH("temu",C152))),"⚠ Retail source — not allowed","✓ Wholesale / own stock"))</f>
        <v/>
      </c>
      <c r="AJ152" s="47" t="str">
        <f aca="false">IF(OR(K152="",G152=""),"",IF(LEFT(AI152,1)="⚠","❌ SKIP",IF(AND(AC152&gt;=Settings!$B$15,AF152&gt;=Settings!$B$16,OR(R152="",N(R152)&gt;=Settings!$B$17)),"✅ GO",IF(AC152&gt;0,"⚠ CHECK","❌ SKIP"))))</f>
        <v/>
      </c>
      <c r="AK152" s="38"/>
    </row>
    <row r="153" customFormat="false" ht="15" hidden="false" customHeight="false" outlineLevel="0" collapsed="false">
      <c r="A153" s="37" t="str">
        <f aca="false">IF(B153="","",ROW()-4)</f>
        <v/>
      </c>
      <c r="B153" s="38"/>
      <c r="C153" s="39"/>
      <c r="D153" s="38"/>
      <c r="E153" s="38"/>
      <c r="F153" s="38"/>
      <c r="G153" s="40"/>
      <c r="H153" s="40"/>
      <c r="I153" s="40"/>
      <c r="J153" s="41" t="str">
        <f aca="false">IF(G153="","",G153+N(H153)+N(I153))</f>
        <v/>
      </c>
      <c r="K153" s="40"/>
      <c r="L153" s="40"/>
      <c r="M153" s="42"/>
      <c r="N153" s="42"/>
      <c r="O153" s="39"/>
      <c r="P153" s="38"/>
      <c r="Q153" s="38"/>
      <c r="R153" s="43" t="str">
        <f aca="false">IF(OR(P153="",Q153=""),"",P153/(P153+Q153))</f>
        <v/>
      </c>
      <c r="S153" s="41" t="str">
        <f aca="false">IF(OR(K153="",G153=""),"",K153+N(L153))</f>
        <v/>
      </c>
      <c r="T153" s="41" t="str">
        <f aca="false">IF(OR(K153="",G153=""),"",S153*Settings!$B$10)</f>
        <v/>
      </c>
      <c r="U153" s="41" t="str">
        <f aca="false">IF(OR(K153="",G153=""),"",(S153+T153)*IF(N153="",Settings!$B$5,N153))</f>
        <v/>
      </c>
      <c r="V153" s="41" t="str">
        <f aca="false">IF(OR(K153="",G153=""),"",IF(S153+T153&lt;=Settings!$B$8,Settings!$B$6,Settings!$B$7))</f>
        <v/>
      </c>
      <c r="W153" s="41" t="str">
        <f aca="false">IF(OR(K153="",G153=""),"",S153*IF(UPPER(O153)="Y",Settings!$B$9,0))</f>
        <v/>
      </c>
      <c r="X153" s="41" t="str">
        <f aca="false">IF(OR(K153="",G153=""),"",(S153+T153)*IF(M153="",Settings!$B$11,M153))</f>
        <v/>
      </c>
      <c r="Y153" s="41" t="str">
        <f aca="false">IF(OR(K153="",G153=""),"",U153+V153+W153+X153)</f>
        <v/>
      </c>
      <c r="Z153" s="41" t="str">
        <f aca="false">IF(OR(K153="",G153=""),"",S153-Y153)</f>
        <v/>
      </c>
      <c r="AA153" s="41" t="str">
        <f aca="false">IF(OR(K153="",G153=""),"",Z153*Settings!$B$12)</f>
        <v/>
      </c>
      <c r="AB153" s="41" t="str">
        <f aca="false">IF(OR(K153="",G153=""),"",S153*Settings!$B$13)</f>
        <v/>
      </c>
      <c r="AC153" s="44" t="str">
        <f aca="false">IF(OR(K153="",G153=""),"",Z153-AA153-AB153-J153)</f>
        <v/>
      </c>
      <c r="AD153" s="45" t="str">
        <f aca="false">IF(OR(K153="",G153=""),"",AC153*Settings!$B$14)</f>
        <v/>
      </c>
      <c r="AE153" s="43" t="str">
        <f aca="false">IF(OR(K153="",G153=""),"",IF(S153=0,"",AC153/S153))</f>
        <v/>
      </c>
      <c r="AF153" s="43" t="str">
        <f aca="false">IF(OR(K153="",G153=""),"",IF(J153=0,"",AC153/J153))</f>
        <v/>
      </c>
      <c r="AG153" s="41" t="str">
        <f aca="false">IF(OR(K153="",G153=""),"",(J153+V153)/(1-(1+Settings!$B$10)*(IF(N153="",Settings!$B$5,N153)+IF(M153="",Settings!$B$11,M153))-IF(UPPER(O153)="Y",Settings!$B$9,0)-Settings!$B$13-Settings!$B$12)-N(L153))</f>
        <v/>
      </c>
      <c r="AH153" s="41" t="str">
        <f aca="false">IF(OR(K153="",G153=""),"",(J153+V153+Settings!$B$15)/(1-(1+Settings!$B$10)*(IF(N153="",Settings!$B$5,N153)+IF(M153="",Settings!$B$11,M153))-IF(UPPER(O153)="Y",Settings!$B$9,0)-Settings!$B$13-Settings!$B$12)-N(L153))</f>
        <v/>
      </c>
      <c r="AI153" s="46" t="str">
        <f aca="false">IF(C153="","",IF(OR(ISNUMBER(SEARCH("amazon",C153)),ISNUMBER(SEARCH("walmart",C153)),ISNUMBER(SEARCH("aliexpress",C153)),ISNUMBER(SEARCH("temu",C153))),"⚠ Retail source — not allowed","✓ Wholesale / own stock"))</f>
        <v/>
      </c>
      <c r="AJ153" s="47" t="str">
        <f aca="false">IF(OR(K153="",G153=""),"",IF(LEFT(AI153,1)="⚠","❌ SKIP",IF(AND(AC153&gt;=Settings!$B$15,AF153&gt;=Settings!$B$16,OR(R153="",N(R153)&gt;=Settings!$B$17)),"✅ GO",IF(AC153&gt;0,"⚠ CHECK","❌ SKIP"))))</f>
        <v/>
      </c>
      <c r="AK153" s="38"/>
    </row>
    <row r="154" customFormat="false" ht="15" hidden="false" customHeight="false" outlineLevel="0" collapsed="false">
      <c r="A154" s="37" t="str">
        <f aca="false">IF(B154="","",ROW()-4)</f>
        <v/>
      </c>
      <c r="B154" s="38"/>
      <c r="C154" s="39"/>
      <c r="D154" s="38"/>
      <c r="E154" s="38"/>
      <c r="F154" s="38"/>
      <c r="G154" s="40"/>
      <c r="H154" s="40"/>
      <c r="I154" s="40"/>
      <c r="J154" s="41" t="str">
        <f aca="false">IF(G154="","",G154+N(H154)+N(I154))</f>
        <v/>
      </c>
      <c r="K154" s="40"/>
      <c r="L154" s="40"/>
      <c r="M154" s="42"/>
      <c r="N154" s="42"/>
      <c r="O154" s="39"/>
      <c r="P154" s="38"/>
      <c r="Q154" s="38"/>
      <c r="R154" s="43" t="str">
        <f aca="false">IF(OR(P154="",Q154=""),"",P154/(P154+Q154))</f>
        <v/>
      </c>
      <c r="S154" s="41" t="str">
        <f aca="false">IF(OR(K154="",G154=""),"",K154+N(L154))</f>
        <v/>
      </c>
      <c r="T154" s="41" t="str">
        <f aca="false">IF(OR(K154="",G154=""),"",S154*Settings!$B$10)</f>
        <v/>
      </c>
      <c r="U154" s="41" t="str">
        <f aca="false">IF(OR(K154="",G154=""),"",(S154+T154)*IF(N154="",Settings!$B$5,N154))</f>
        <v/>
      </c>
      <c r="V154" s="41" t="str">
        <f aca="false">IF(OR(K154="",G154=""),"",IF(S154+T154&lt;=Settings!$B$8,Settings!$B$6,Settings!$B$7))</f>
        <v/>
      </c>
      <c r="W154" s="41" t="str">
        <f aca="false">IF(OR(K154="",G154=""),"",S154*IF(UPPER(O154)="Y",Settings!$B$9,0))</f>
        <v/>
      </c>
      <c r="X154" s="41" t="str">
        <f aca="false">IF(OR(K154="",G154=""),"",(S154+T154)*IF(M154="",Settings!$B$11,M154))</f>
        <v/>
      </c>
      <c r="Y154" s="41" t="str">
        <f aca="false">IF(OR(K154="",G154=""),"",U154+V154+W154+X154)</f>
        <v/>
      </c>
      <c r="Z154" s="41" t="str">
        <f aca="false">IF(OR(K154="",G154=""),"",S154-Y154)</f>
        <v/>
      </c>
      <c r="AA154" s="41" t="str">
        <f aca="false">IF(OR(K154="",G154=""),"",Z154*Settings!$B$12)</f>
        <v/>
      </c>
      <c r="AB154" s="41" t="str">
        <f aca="false">IF(OR(K154="",G154=""),"",S154*Settings!$B$13)</f>
        <v/>
      </c>
      <c r="AC154" s="44" t="str">
        <f aca="false">IF(OR(K154="",G154=""),"",Z154-AA154-AB154-J154)</f>
        <v/>
      </c>
      <c r="AD154" s="45" t="str">
        <f aca="false">IF(OR(K154="",G154=""),"",AC154*Settings!$B$14)</f>
        <v/>
      </c>
      <c r="AE154" s="43" t="str">
        <f aca="false">IF(OR(K154="",G154=""),"",IF(S154=0,"",AC154/S154))</f>
        <v/>
      </c>
      <c r="AF154" s="43" t="str">
        <f aca="false">IF(OR(K154="",G154=""),"",IF(J154=0,"",AC154/J154))</f>
        <v/>
      </c>
      <c r="AG154" s="41" t="str">
        <f aca="false">IF(OR(K154="",G154=""),"",(J154+V154)/(1-(1+Settings!$B$10)*(IF(N154="",Settings!$B$5,N154)+IF(M154="",Settings!$B$11,M154))-IF(UPPER(O154)="Y",Settings!$B$9,0)-Settings!$B$13-Settings!$B$12)-N(L154))</f>
        <v/>
      </c>
      <c r="AH154" s="41" t="str">
        <f aca="false">IF(OR(K154="",G154=""),"",(J154+V154+Settings!$B$15)/(1-(1+Settings!$B$10)*(IF(N154="",Settings!$B$5,N154)+IF(M154="",Settings!$B$11,M154))-IF(UPPER(O154)="Y",Settings!$B$9,0)-Settings!$B$13-Settings!$B$12)-N(L154))</f>
        <v/>
      </c>
      <c r="AI154" s="46" t="str">
        <f aca="false">IF(C154="","",IF(OR(ISNUMBER(SEARCH("amazon",C154)),ISNUMBER(SEARCH("walmart",C154)),ISNUMBER(SEARCH("aliexpress",C154)),ISNUMBER(SEARCH("temu",C154))),"⚠ Retail source — not allowed","✓ Wholesale / own stock"))</f>
        <v/>
      </c>
      <c r="AJ154" s="47" t="str">
        <f aca="false">IF(OR(K154="",G154=""),"",IF(LEFT(AI154,1)="⚠","❌ SKIP",IF(AND(AC154&gt;=Settings!$B$15,AF154&gt;=Settings!$B$16,OR(R154="",N(R154)&gt;=Settings!$B$17)),"✅ GO",IF(AC154&gt;0,"⚠ CHECK","❌ SKIP"))))</f>
        <v/>
      </c>
      <c r="AK154" s="38"/>
    </row>
    <row r="155" customFormat="false" ht="15" hidden="false" customHeight="false" outlineLevel="0" collapsed="false">
      <c r="A155" s="37" t="str">
        <f aca="false">IF(B155="","",ROW()-4)</f>
        <v/>
      </c>
      <c r="B155" s="38"/>
      <c r="C155" s="39"/>
      <c r="D155" s="38"/>
      <c r="E155" s="38"/>
      <c r="F155" s="38"/>
      <c r="G155" s="40"/>
      <c r="H155" s="40"/>
      <c r="I155" s="40"/>
      <c r="J155" s="41" t="str">
        <f aca="false">IF(G155="","",G155+N(H155)+N(I155))</f>
        <v/>
      </c>
      <c r="K155" s="40"/>
      <c r="L155" s="40"/>
      <c r="M155" s="42"/>
      <c r="N155" s="42"/>
      <c r="O155" s="39"/>
      <c r="P155" s="38"/>
      <c r="Q155" s="38"/>
      <c r="R155" s="43" t="str">
        <f aca="false">IF(OR(P155="",Q155=""),"",P155/(P155+Q155))</f>
        <v/>
      </c>
      <c r="S155" s="41" t="str">
        <f aca="false">IF(OR(K155="",G155=""),"",K155+N(L155))</f>
        <v/>
      </c>
      <c r="T155" s="41" t="str">
        <f aca="false">IF(OR(K155="",G155=""),"",S155*Settings!$B$10)</f>
        <v/>
      </c>
      <c r="U155" s="41" t="str">
        <f aca="false">IF(OR(K155="",G155=""),"",(S155+T155)*IF(N155="",Settings!$B$5,N155))</f>
        <v/>
      </c>
      <c r="V155" s="41" t="str">
        <f aca="false">IF(OR(K155="",G155=""),"",IF(S155+T155&lt;=Settings!$B$8,Settings!$B$6,Settings!$B$7))</f>
        <v/>
      </c>
      <c r="W155" s="41" t="str">
        <f aca="false">IF(OR(K155="",G155=""),"",S155*IF(UPPER(O155)="Y",Settings!$B$9,0))</f>
        <v/>
      </c>
      <c r="X155" s="41" t="str">
        <f aca="false">IF(OR(K155="",G155=""),"",(S155+T155)*IF(M155="",Settings!$B$11,M155))</f>
        <v/>
      </c>
      <c r="Y155" s="41" t="str">
        <f aca="false">IF(OR(K155="",G155=""),"",U155+V155+W155+X155)</f>
        <v/>
      </c>
      <c r="Z155" s="41" t="str">
        <f aca="false">IF(OR(K155="",G155=""),"",S155-Y155)</f>
        <v/>
      </c>
      <c r="AA155" s="41" t="str">
        <f aca="false">IF(OR(K155="",G155=""),"",Z155*Settings!$B$12)</f>
        <v/>
      </c>
      <c r="AB155" s="41" t="str">
        <f aca="false">IF(OR(K155="",G155=""),"",S155*Settings!$B$13)</f>
        <v/>
      </c>
      <c r="AC155" s="44" t="str">
        <f aca="false">IF(OR(K155="",G155=""),"",Z155-AA155-AB155-J155)</f>
        <v/>
      </c>
      <c r="AD155" s="45" t="str">
        <f aca="false">IF(OR(K155="",G155=""),"",AC155*Settings!$B$14)</f>
        <v/>
      </c>
      <c r="AE155" s="43" t="str">
        <f aca="false">IF(OR(K155="",G155=""),"",IF(S155=0,"",AC155/S155))</f>
        <v/>
      </c>
      <c r="AF155" s="43" t="str">
        <f aca="false">IF(OR(K155="",G155=""),"",IF(J155=0,"",AC155/J155))</f>
        <v/>
      </c>
      <c r="AG155" s="41" t="str">
        <f aca="false">IF(OR(K155="",G155=""),"",(J155+V155)/(1-(1+Settings!$B$10)*(IF(N155="",Settings!$B$5,N155)+IF(M155="",Settings!$B$11,M155))-IF(UPPER(O155)="Y",Settings!$B$9,0)-Settings!$B$13-Settings!$B$12)-N(L155))</f>
        <v/>
      </c>
      <c r="AH155" s="41" t="str">
        <f aca="false">IF(OR(K155="",G155=""),"",(J155+V155+Settings!$B$15)/(1-(1+Settings!$B$10)*(IF(N155="",Settings!$B$5,N155)+IF(M155="",Settings!$B$11,M155))-IF(UPPER(O155)="Y",Settings!$B$9,0)-Settings!$B$13-Settings!$B$12)-N(L155))</f>
        <v/>
      </c>
      <c r="AI155" s="46" t="str">
        <f aca="false">IF(C155="","",IF(OR(ISNUMBER(SEARCH("amazon",C155)),ISNUMBER(SEARCH("walmart",C155)),ISNUMBER(SEARCH("aliexpress",C155)),ISNUMBER(SEARCH("temu",C155))),"⚠ Retail source — not allowed","✓ Wholesale / own stock"))</f>
        <v/>
      </c>
      <c r="AJ155" s="47" t="str">
        <f aca="false">IF(OR(K155="",G155=""),"",IF(LEFT(AI155,1)="⚠","❌ SKIP",IF(AND(AC155&gt;=Settings!$B$15,AF155&gt;=Settings!$B$16,OR(R155="",N(R155)&gt;=Settings!$B$17)),"✅ GO",IF(AC155&gt;0,"⚠ CHECK","❌ SKIP"))))</f>
        <v/>
      </c>
      <c r="AK155" s="38"/>
    </row>
    <row r="156" customFormat="false" ht="15" hidden="false" customHeight="false" outlineLevel="0" collapsed="false">
      <c r="A156" s="37" t="str">
        <f aca="false">IF(B156="","",ROW()-4)</f>
        <v/>
      </c>
      <c r="B156" s="38"/>
      <c r="C156" s="39"/>
      <c r="D156" s="38"/>
      <c r="E156" s="38"/>
      <c r="F156" s="38"/>
      <c r="G156" s="40"/>
      <c r="H156" s="40"/>
      <c r="I156" s="40"/>
      <c r="J156" s="41" t="str">
        <f aca="false">IF(G156="","",G156+N(H156)+N(I156))</f>
        <v/>
      </c>
      <c r="K156" s="40"/>
      <c r="L156" s="40"/>
      <c r="M156" s="42"/>
      <c r="N156" s="42"/>
      <c r="O156" s="39"/>
      <c r="P156" s="38"/>
      <c r="Q156" s="38"/>
      <c r="R156" s="43" t="str">
        <f aca="false">IF(OR(P156="",Q156=""),"",P156/(P156+Q156))</f>
        <v/>
      </c>
      <c r="S156" s="41" t="str">
        <f aca="false">IF(OR(K156="",G156=""),"",K156+N(L156))</f>
        <v/>
      </c>
      <c r="T156" s="41" t="str">
        <f aca="false">IF(OR(K156="",G156=""),"",S156*Settings!$B$10)</f>
        <v/>
      </c>
      <c r="U156" s="41" t="str">
        <f aca="false">IF(OR(K156="",G156=""),"",(S156+T156)*IF(N156="",Settings!$B$5,N156))</f>
        <v/>
      </c>
      <c r="V156" s="41" t="str">
        <f aca="false">IF(OR(K156="",G156=""),"",IF(S156+T156&lt;=Settings!$B$8,Settings!$B$6,Settings!$B$7))</f>
        <v/>
      </c>
      <c r="W156" s="41" t="str">
        <f aca="false">IF(OR(K156="",G156=""),"",S156*IF(UPPER(O156)="Y",Settings!$B$9,0))</f>
        <v/>
      </c>
      <c r="X156" s="41" t="str">
        <f aca="false">IF(OR(K156="",G156=""),"",(S156+T156)*IF(M156="",Settings!$B$11,M156))</f>
        <v/>
      </c>
      <c r="Y156" s="41" t="str">
        <f aca="false">IF(OR(K156="",G156=""),"",U156+V156+W156+X156)</f>
        <v/>
      </c>
      <c r="Z156" s="41" t="str">
        <f aca="false">IF(OR(K156="",G156=""),"",S156-Y156)</f>
        <v/>
      </c>
      <c r="AA156" s="41" t="str">
        <f aca="false">IF(OR(K156="",G156=""),"",Z156*Settings!$B$12)</f>
        <v/>
      </c>
      <c r="AB156" s="41" t="str">
        <f aca="false">IF(OR(K156="",G156=""),"",S156*Settings!$B$13)</f>
        <v/>
      </c>
      <c r="AC156" s="44" t="str">
        <f aca="false">IF(OR(K156="",G156=""),"",Z156-AA156-AB156-J156)</f>
        <v/>
      </c>
      <c r="AD156" s="45" t="str">
        <f aca="false">IF(OR(K156="",G156=""),"",AC156*Settings!$B$14)</f>
        <v/>
      </c>
      <c r="AE156" s="43" t="str">
        <f aca="false">IF(OR(K156="",G156=""),"",IF(S156=0,"",AC156/S156))</f>
        <v/>
      </c>
      <c r="AF156" s="43" t="str">
        <f aca="false">IF(OR(K156="",G156=""),"",IF(J156=0,"",AC156/J156))</f>
        <v/>
      </c>
      <c r="AG156" s="41" t="str">
        <f aca="false">IF(OR(K156="",G156=""),"",(J156+V156)/(1-(1+Settings!$B$10)*(IF(N156="",Settings!$B$5,N156)+IF(M156="",Settings!$B$11,M156))-IF(UPPER(O156)="Y",Settings!$B$9,0)-Settings!$B$13-Settings!$B$12)-N(L156))</f>
        <v/>
      </c>
      <c r="AH156" s="41" t="str">
        <f aca="false">IF(OR(K156="",G156=""),"",(J156+V156+Settings!$B$15)/(1-(1+Settings!$B$10)*(IF(N156="",Settings!$B$5,N156)+IF(M156="",Settings!$B$11,M156))-IF(UPPER(O156)="Y",Settings!$B$9,0)-Settings!$B$13-Settings!$B$12)-N(L156))</f>
        <v/>
      </c>
      <c r="AI156" s="46" t="str">
        <f aca="false">IF(C156="","",IF(OR(ISNUMBER(SEARCH("amazon",C156)),ISNUMBER(SEARCH("walmart",C156)),ISNUMBER(SEARCH("aliexpress",C156)),ISNUMBER(SEARCH("temu",C156))),"⚠ Retail source — not allowed","✓ Wholesale / own stock"))</f>
        <v/>
      </c>
      <c r="AJ156" s="47" t="str">
        <f aca="false">IF(OR(K156="",G156=""),"",IF(LEFT(AI156,1)="⚠","❌ SKIP",IF(AND(AC156&gt;=Settings!$B$15,AF156&gt;=Settings!$B$16,OR(R156="",N(R156)&gt;=Settings!$B$17)),"✅ GO",IF(AC156&gt;0,"⚠ CHECK","❌ SKIP"))))</f>
        <v/>
      </c>
      <c r="AK156" s="38"/>
    </row>
    <row r="157" customFormat="false" ht="15" hidden="false" customHeight="false" outlineLevel="0" collapsed="false">
      <c r="A157" s="37" t="str">
        <f aca="false">IF(B157="","",ROW()-4)</f>
        <v/>
      </c>
      <c r="B157" s="38"/>
      <c r="C157" s="39"/>
      <c r="D157" s="38"/>
      <c r="E157" s="38"/>
      <c r="F157" s="38"/>
      <c r="G157" s="40"/>
      <c r="H157" s="40"/>
      <c r="I157" s="40"/>
      <c r="J157" s="41" t="str">
        <f aca="false">IF(G157="","",G157+N(H157)+N(I157))</f>
        <v/>
      </c>
      <c r="K157" s="40"/>
      <c r="L157" s="40"/>
      <c r="M157" s="42"/>
      <c r="N157" s="42"/>
      <c r="O157" s="39"/>
      <c r="P157" s="38"/>
      <c r="Q157" s="38"/>
      <c r="R157" s="43" t="str">
        <f aca="false">IF(OR(P157="",Q157=""),"",P157/(P157+Q157))</f>
        <v/>
      </c>
      <c r="S157" s="41" t="str">
        <f aca="false">IF(OR(K157="",G157=""),"",K157+N(L157))</f>
        <v/>
      </c>
      <c r="T157" s="41" t="str">
        <f aca="false">IF(OR(K157="",G157=""),"",S157*Settings!$B$10)</f>
        <v/>
      </c>
      <c r="U157" s="41" t="str">
        <f aca="false">IF(OR(K157="",G157=""),"",(S157+T157)*IF(N157="",Settings!$B$5,N157))</f>
        <v/>
      </c>
      <c r="V157" s="41" t="str">
        <f aca="false">IF(OR(K157="",G157=""),"",IF(S157+T157&lt;=Settings!$B$8,Settings!$B$6,Settings!$B$7))</f>
        <v/>
      </c>
      <c r="W157" s="41" t="str">
        <f aca="false">IF(OR(K157="",G157=""),"",S157*IF(UPPER(O157)="Y",Settings!$B$9,0))</f>
        <v/>
      </c>
      <c r="X157" s="41" t="str">
        <f aca="false">IF(OR(K157="",G157=""),"",(S157+T157)*IF(M157="",Settings!$B$11,M157))</f>
        <v/>
      </c>
      <c r="Y157" s="41" t="str">
        <f aca="false">IF(OR(K157="",G157=""),"",U157+V157+W157+X157)</f>
        <v/>
      </c>
      <c r="Z157" s="41" t="str">
        <f aca="false">IF(OR(K157="",G157=""),"",S157-Y157)</f>
        <v/>
      </c>
      <c r="AA157" s="41" t="str">
        <f aca="false">IF(OR(K157="",G157=""),"",Z157*Settings!$B$12)</f>
        <v/>
      </c>
      <c r="AB157" s="41" t="str">
        <f aca="false">IF(OR(K157="",G157=""),"",S157*Settings!$B$13)</f>
        <v/>
      </c>
      <c r="AC157" s="44" t="str">
        <f aca="false">IF(OR(K157="",G157=""),"",Z157-AA157-AB157-J157)</f>
        <v/>
      </c>
      <c r="AD157" s="45" t="str">
        <f aca="false">IF(OR(K157="",G157=""),"",AC157*Settings!$B$14)</f>
        <v/>
      </c>
      <c r="AE157" s="43" t="str">
        <f aca="false">IF(OR(K157="",G157=""),"",IF(S157=0,"",AC157/S157))</f>
        <v/>
      </c>
      <c r="AF157" s="43" t="str">
        <f aca="false">IF(OR(K157="",G157=""),"",IF(J157=0,"",AC157/J157))</f>
        <v/>
      </c>
      <c r="AG157" s="41" t="str">
        <f aca="false">IF(OR(K157="",G157=""),"",(J157+V157)/(1-(1+Settings!$B$10)*(IF(N157="",Settings!$B$5,N157)+IF(M157="",Settings!$B$11,M157))-IF(UPPER(O157)="Y",Settings!$B$9,0)-Settings!$B$13-Settings!$B$12)-N(L157))</f>
        <v/>
      </c>
      <c r="AH157" s="41" t="str">
        <f aca="false">IF(OR(K157="",G157=""),"",(J157+V157+Settings!$B$15)/(1-(1+Settings!$B$10)*(IF(N157="",Settings!$B$5,N157)+IF(M157="",Settings!$B$11,M157))-IF(UPPER(O157)="Y",Settings!$B$9,0)-Settings!$B$13-Settings!$B$12)-N(L157))</f>
        <v/>
      </c>
      <c r="AI157" s="46" t="str">
        <f aca="false">IF(C157="","",IF(OR(ISNUMBER(SEARCH("amazon",C157)),ISNUMBER(SEARCH("walmart",C157)),ISNUMBER(SEARCH("aliexpress",C157)),ISNUMBER(SEARCH("temu",C157))),"⚠ Retail source — not allowed","✓ Wholesale / own stock"))</f>
        <v/>
      </c>
      <c r="AJ157" s="47" t="str">
        <f aca="false">IF(OR(K157="",G157=""),"",IF(LEFT(AI157,1)="⚠","❌ SKIP",IF(AND(AC157&gt;=Settings!$B$15,AF157&gt;=Settings!$B$16,OR(R157="",N(R157)&gt;=Settings!$B$17)),"✅ GO",IF(AC157&gt;0,"⚠ CHECK","❌ SKIP"))))</f>
        <v/>
      </c>
      <c r="AK157" s="38"/>
    </row>
    <row r="158" customFormat="false" ht="15" hidden="false" customHeight="false" outlineLevel="0" collapsed="false">
      <c r="A158" s="37" t="str">
        <f aca="false">IF(B158="","",ROW()-4)</f>
        <v/>
      </c>
      <c r="B158" s="38"/>
      <c r="C158" s="39"/>
      <c r="D158" s="38"/>
      <c r="E158" s="38"/>
      <c r="F158" s="38"/>
      <c r="G158" s="40"/>
      <c r="H158" s="40"/>
      <c r="I158" s="40"/>
      <c r="J158" s="41" t="str">
        <f aca="false">IF(G158="","",G158+N(H158)+N(I158))</f>
        <v/>
      </c>
      <c r="K158" s="40"/>
      <c r="L158" s="40"/>
      <c r="M158" s="42"/>
      <c r="N158" s="42"/>
      <c r="O158" s="39"/>
      <c r="P158" s="38"/>
      <c r="Q158" s="38"/>
      <c r="R158" s="43" t="str">
        <f aca="false">IF(OR(P158="",Q158=""),"",P158/(P158+Q158))</f>
        <v/>
      </c>
      <c r="S158" s="41" t="str">
        <f aca="false">IF(OR(K158="",G158=""),"",K158+N(L158))</f>
        <v/>
      </c>
      <c r="T158" s="41" t="str">
        <f aca="false">IF(OR(K158="",G158=""),"",S158*Settings!$B$10)</f>
        <v/>
      </c>
      <c r="U158" s="41" t="str">
        <f aca="false">IF(OR(K158="",G158=""),"",(S158+T158)*IF(N158="",Settings!$B$5,N158))</f>
        <v/>
      </c>
      <c r="V158" s="41" t="str">
        <f aca="false">IF(OR(K158="",G158=""),"",IF(S158+T158&lt;=Settings!$B$8,Settings!$B$6,Settings!$B$7))</f>
        <v/>
      </c>
      <c r="W158" s="41" t="str">
        <f aca="false">IF(OR(K158="",G158=""),"",S158*IF(UPPER(O158)="Y",Settings!$B$9,0))</f>
        <v/>
      </c>
      <c r="X158" s="41" t="str">
        <f aca="false">IF(OR(K158="",G158=""),"",(S158+T158)*IF(M158="",Settings!$B$11,M158))</f>
        <v/>
      </c>
      <c r="Y158" s="41" t="str">
        <f aca="false">IF(OR(K158="",G158=""),"",U158+V158+W158+X158)</f>
        <v/>
      </c>
      <c r="Z158" s="41" t="str">
        <f aca="false">IF(OR(K158="",G158=""),"",S158-Y158)</f>
        <v/>
      </c>
      <c r="AA158" s="41" t="str">
        <f aca="false">IF(OR(K158="",G158=""),"",Z158*Settings!$B$12)</f>
        <v/>
      </c>
      <c r="AB158" s="41" t="str">
        <f aca="false">IF(OR(K158="",G158=""),"",S158*Settings!$B$13)</f>
        <v/>
      </c>
      <c r="AC158" s="44" t="str">
        <f aca="false">IF(OR(K158="",G158=""),"",Z158-AA158-AB158-J158)</f>
        <v/>
      </c>
      <c r="AD158" s="45" t="str">
        <f aca="false">IF(OR(K158="",G158=""),"",AC158*Settings!$B$14)</f>
        <v/>
      </c>
      <c r="AE158" s="43" t="str">
        <f aca="false">IF(OR(K158="",G158=""),"",IF(S158=0,"",AC158/S158))</f>
        <v/>
      </c>
      <c r="AF158" s="43" t="str">
        <f aca="false">IF(OR(K158="",G158=""),"",IF(J158=0,"",AC158/J158))</f>
        <v/>
      </c>
      <c r="AG158" s="41" t="str">
        <f aca="false">IF(OR(K158="",G158=""),"",(J158+V158)/(1-(1+Settings!$B$10)*(IF(N158="",Settings!$B$5,N158)+IF(M158="",Settings!$B$11,M158))-IF(UPPER(O158)="Y",Settings!$B$9,0)-Settings!$B$13-Settings!$B$12)-N(L158))</f>
        <v/>
      </c>
      <c r="AH158" s="41" t="str">
        <f aca="false">IF(OR(K158="",G158=""),"",(J158+V158+Settings!$B$15)/(1-(1+Settings!$B$10)*(IF(N158="",Settings!$B$5,N158)+IF(M158="",Settings!$B$11,M158))-IF(UPPER(O158)="Y",Settings!$B$9,0)-Settings!$B$13-Settings!$B$12)-N(L158))</f>
        <v/>
      </c>
      <c r="AI158" s="46" t="str">
        <f aca="false">IF(C158="","",IF(OR(ISNUMBER(SEARCH("amazon",C158)),ISNUMBER(SEARCH("walmart",C158)),ISNUMBER(SEARCH("aliexpress",C158)),ISNUMBER(SEARCH("temu",C158))),"⚠ Retail source — not allowed","✓ Wholesale / own stock"))</f>
        <v/>
      </c>
      <c r="AJ158" s="47" t="str">
        <f aca="false">IF(OR(K158="",G158=""),"",IF(LEFT(AI158,1)="⚠","❌ SKIP",IF(AND(AC158&gt;=Settings!$B$15,AF158&gt;=Settings!$B$16,OR(R158="",N(R158)&gt;=Settings!$B$17)),"✅ GO",IF(AC158&gt;0,"⚠ CHECK","❌ SKIP"))))</f>
        <v/>
      </c>
      <c r="AK158" s="38"/>
    </row>
    <row r="159" customFormat="false" ht="15" hidden="false" customHeight="false" outlineLevel="0" collapsed="false">
      <c r="A159" s="37" t="str">
        <f aca="false">IF(B159="","",ROW()-4)</f>
        <v/>
      </c>
      <c r="B159" s="38"/>
      <c r="C159" s="39"/>
      <c r="D159" s="38"/>
      <c r="E159" s="38"/>
      <c r="F159" s="38"/>
      <c r="G159" s="40"/>
      <c r="H159" s="40"/>
      <c r="I159" s="40"/>
      <c r="J159" s="41" t="str">
        <f aca="false">IF(G159="","",G159+N(H159)+N(I159))</f>
        <v/>
      </c>
      <c r="K159" s="40"/>
      <c r="L159" s="40"/>
      <c r="M159" s="42"/>
      <c r="N159" s="42"/>
      <c r="O159" s="39"/>
      <c r="P159" s="38"/>
      <c r="Q159" s="38"/>
      <c r="R159" s="43" t="str">
        <f aca="false">IF(OR(P159="",Q159=""),"",P159/(P159+Q159))</f>
        <v/>
      </c>
      <c r="S159" s="41" t="str">
        <f aca="false">IF(OR(K159="",G159=""),"",K159+N(L159))</f>
        <v/>
      </c>
      <c r="T159" s="41" t="str">
        <f aca="false">IF(OR(K159="",G159=""),"",S159*Settings!$B$10)</f>
        <v/>
      </c>
      <c r="U159" s="41" t="str">
        <f aca="false">IF(OR(K159="",G159=""),"",(S159+T159)*IF(N159="",Settings!$B$5,N159))</f>
        <v/>
      </c>
      <c r="V159" s="41" t="str">
        <f aca="false">IF(OR(K159="",G159=""),"",IF(S159+T159&lt;=Settings!$B$8,Settings!$B$6,Settings!$B$7))</f>
        <v/>
      </c>
      <c r="W159" s="41" t="str">
        <f aca="false">IF(OR(K159="",G159=""),"",S159*IF(UPPER(O159)="Y",Settings!$B$9,0))</f>
        <v/>
      </c>
      <c r="X159" s="41" t="str">
        <f aca="false">IF(OR(K159="",G159=""),"",(S159+T159)*IF(M159="",Settings!$B$11,M159))</f>
        <v/>
      </c>
      <c r="Y159" s="41" t="str">
        <f aca="false">IF(OR(K159="",G159=""),"",U159+V159+W159+X159)</f>
        <v/>
      </c>
      <c r="Z159" s="41" t="str">
        <f aca="false">IF(OR(K159="",G159=""),"",S159-Y159)</f>
        <v/>
      </c>
      <c r="AA159" s="41" t="str">
        <f aca="false">IF(OR(K159="",G159=""),"",Z159*Settings!$B$12)</f>
        <v/>
      </c>
      <c r="AB159" s="41" t="str">
        <f aca="false">IF(OR(K159="",G159=""),"",S159*Settings!$B$13)</f>
        <v/>
      </c>
      <c r="AC159" s="44" t="str">
        <f aca="false">IF(OR(K159="",G159=""),"",Z159-AA159-AB159-J159)</f>
        <v/>
      </c>
      <c r="AD159" s="45" t="str">
        <f aca="false">IF(OR(K159="",G159=""),"",AC159*Settings!$B$14)</f>
        <v/>
      </c>
      <c r="AE159" s="43" t="str">
        <f aca="false">IF(OR(K159="",G159=""),"",IF(S159=0,"",AC159/S159))</f>
        <v/>
      </c>
      <c r="AF159" s="43" t="str">
        <f aca="false">IF(OR(K159="",G159=""),"",IF(J159=0,"",AC159/J159))</f>
        <v/>
      </c>
      <c r="AG159" s="41" t="str">
        <f aca="false">IF(OR(K159="",G159=""),"",(J159+V159)/(1-(1+Settings!$B$10)*(IF(N159="",Settings!$B$5,N159)+IF(M159="",Settings!$B$11,M159))-IF(UPPER(O159)="Y",Settings!$B$9,0)-Settings!$B$13-Settings!$B$12)-N(L159))</f>
        <v/>
      </c>
      <c r="AH159" s="41" t="str">
        <f aca="false">IF(OR(K159="",G159=""),"",(J159+V159+Settings!$B$15)/(1-(1+Settings!$B$10)*(IF(N159="",Settings!$B$5,N159)+IF(M159="",Settings!$B$11,M159))-IF(UPPER(O159)="Y",Settings!$B$9,0)-Settings!$B$13-Settings!$B$12)-N(L159))</f>
        <v/>
      </c>
      <c r="AI159" s="46" t="str">
        <f aca="false">IF(C159="","",IF(OR(ISNUMBER(SEARCH("amazon",C159)),ISNUMBER(SEARCH("walmart",C159)),ISNUMBER(SEARCH("aliexpress",C159)),ISNUMBER(SEARCH("temu",C159))),"⚠ Retail source — not allowed","✓ Wholesale / own stock"))</f>
        <v/>
      </c>
      <c r="AJ159" s="47" t="str">
        <f aca="false">IF(OR(K159="",G159=""),"",IF(LEFT(AI159,1)="⚠","❌ SKIP",IF(AND(AC159&gt;=Settings!$B$15,AF159&gt;=Settings!$B$16,OR(R159="",N(R159)&gt;=Settings!$B$17)),"✅ GO",IF(AC159&gt;0,"⚠ CHECK","❌ SKIP"))))</f>
        <v/>
      </c>
      <c r="AK159" s="38"/>
    </row>
    <row r="160" customFormat="false" ht="15" hidden="false" customHeight="false" outlineLevel="0" collapsed="false">
      <c r="A160" s="37" t="str">
        <f aca="false">IF(B160="","",ROW()-4)</f>
        <v/>
      </c>
      <c r="B160" s="38"/>
      <c r="C160" s="39"/>
      <c r="D160" s="38"/>
      <c r="E160" s="38"/>
      <c r="F160" s="38"/>
      <c r="G160" s="40"/>
      <c r="H160" s="40"/>
      <c r="I160" s="40"/>
      <c r="J160" s="41" t="str">
        <f aca="false">IF(G160="","",G160+N(H160)+N(I160))</f>
        <v/>
      </c>
      <c r="K160" s="40"/>
      <c r="L160" s="40"/>
      <c r="M160" s="42"/>
      <c r="N160" s="42"/>
      <c r="O160" s="39"/>
      <c r="P160" s="38"/>
      <c r="Q160" s="38"/>
      <c r="R160" s="43" t="str">
        <f aca="false">IF(OR(P160="",Q160=""),"",P160/(P160+Q160))</f>
        <v/>
      </c>
      <c r="S160" s="41" t="str">
        <f aca="false">IF(OR(K160="",G160=""),"",K160+N(L160))</f>
        <v/>
      </c>
      <c r="T160" s="41" t="str">
        <f aca="false">IF(OR(K160="",G160=""),"",S160*Settings!$B$10)</f>
        <v/>
      </c>
      <c r="U160" s="41" t="str">
        <f aca="false">IF(OR(K160="",G160=""),"",(S160+T160)*IF(N160="",Settings!$B$5,N160))</f>
        <v/>
      </c>
      <c r="V160" s="41" t="str">
        <f aca="false">IF(OR(K160="",G160=""),"",IF(S160+T160&lt;=Settings!$B$8,Settings!$B$6,Settings!$B$7))</f>
        <v/>
      </c>
      <c r="W160" s="41" t="str">
        <f aca="false">IF(OR(K160="",G160=""),"",S160*IF(UPPER(O160)="Y",Settings!$B$9,0))</f>
        <v/>
      </c>
      <c r="X160" s="41" t="str">
        <f aca="false">IF(OR(K160="",G160=""),"",(S160+T160)*IF(M160="",Settings!$B$11,M160))</f>
        <v/>
      </c>
      <c r="Y160" s="41" t="str">
        <f aca="false">IF(OR(K160="",G160=""),"",U160+V160+W160+X160)</f>
        <v/>
      </c>
      <c r="Z160" s="41" t="str">
        <f aca="false">IF(OR(K160="",G160=""),"",S160-Y160)</f>
        <v/>
      </c>
      <c r="AA160" s="41" t="str">
        <f aca="false">IF(OR(K160="",G160=""),"",Z160*Settings!$B$12)</f>
        <v/>
      </c>
      <c r="AB160" s="41" t="str">
        <f aca="false">IF(OR(K160="",G160=""),"",S160*Settings!$B$13)</f>
        <v/>
      </c>
      <c r="AC160" s="44" t="str">
        <f aca="false">IF(OR(K160="",G160=""),"",Z160-AA160-AB160-J160)</f>
        <v/>
      </c>
      <c r="AD160" s="45" t="str">
        <f aca="false">IF(OR(K160="",G160=""),"",AC160*Settings!$B$14)</f>
        <v/>
      </c>
      <c r="AE160" s="43" t="str">
        <f aca="false">IF(OR(K160="",G160=""),"",IF(S160=0,"",AC160/S160))</f>
        <v/>
      </c>
      <c r="AF160" s="43" t="str">
        <f aca="false">IF(OR(K160="",G160=""),"",IF(J160=0,"",AC160/J160))</f>
        <v/>
      </c>
      <c r="AG160" s="41" t="str">
        <f aca="false">IF(OR(K160="",G160=""),"",(J160+V160)/(1-(1+Settings!$B$10)*(IF(N160="",Settings!$B$5,N160)+IF(M160="",Settings!$B$11,M160))-IF(UPPER(O160)="Y",Settings!$B$9,0)-Settings!$B$13-Settings!$B$12)-N(L160))</f>
        <v/>
      </c>
      <c r="AH160" s="41" t="str">
        <f aca="false">IF(OR(K160="",G160=""),"",(J160+V160+Settings!$B$15)/(1-(1+Settings!$B$10)*(IF(N160="",Settings!$B$5,N160)+IF(M160="",Settings!$B$11,M160))-IF(UPPER(O160)="Y",Settings!$B$9,0)-Settings!$B$13-Settings!$B$12)-N(L160))</f>
        <v/>
      </c>
      <c r="AI160" s="46" t="str">
        <f aca="false">IF(C160="","",IF(OR(ISNUMBER(SEARCH("amazon",C160)),ISNUMBER(SEARCH("walmart",C160)),ISNUMBER(SEARCH("aliexpress",C160)),ISNUMBER(SEARCH("temu",C160))),"⚠ Retail source — not allowed","✓ Wholesale / own stock"))</f>
        <v/>
      </c>
      <c r="AJ160" s="47" t="str">
        <f aca="false">IF(OR(K160="",G160=""),"",IF(LEFT(AI160,1)="⚠","❌ SKIP",IF(AND(AC160&gt;=Settings!$B$15,AF160&gt;=Settings!$B$16,OR(R160="",N(R160)&gt;=Settings!$B$17)),"✅ GO",IF(AC160&gt;0,"⚠ CHECK","❌ SKIP"))))</f>
        <v/>
      </c>
      <c r="AK160" s="38"/>
    </row>
    <row r="161" customFormat="false" ht="15" hidden="false" customHeight="false" outlineLevel="0" collapsed="false">
      <c r="A161" s="37" t="str">
        <f aca="false">IF(B161="","",ROW()-4)</f>
        <v/>
      </c>
      <c r="B161" s="38"/>
      <c r="C161" s="39"/>
      <c r="D161" s="38"/>
      <c r="E161" s="38"/>
      <c r="F161" s="38"/>
      <c r="G161" s="40"/>
      <c r="H161" s="40"/>
      <c r="I161" s="40"/>
      <c r="J161" s="41" t="str">
        <f aca="false">IF(G161="","",G161+N(H161)+N(I161))</f>
        <v/>
      </c>
      <c r="K161" s="40"/>
      <c r="L161" s="40"/>
      <c r="M161" s="42"/>
      <c r="N161" s="42"/>
      <c r="O161" s="39"/>
      <c r="P161" s="38"/>
      <c r="Q161" s="38"/>
      <c r="R161" s="43" t="str">
        <f aca="false">IF(OR(P161="",Q161=""),"",P161/(P161+Q161))</f>
        <v/>
      </c>
      <c r="S161" s="41" t="str">
        <f aca="false">IF(OR(K161="",G161=""),"",K161+N(L161))</f>
        <v/>
      </c>
      <c r="T161" s="41" t="str">
        <f aca="false">IF(OR(K161="",G161=""),"",S161*Settings!$B$10)</f>
        <v/>
      </c>
      <c r="U161" s="41" t="str">
        <f aca="false">IF(OR(K161="",G161=""),"",(S161+T161)*IF(N161="",Settings!$B$5,N161))</f>
        <v/>
      </c>
      <c r="V161" s="41" t="str">
        <f aca="false">IF(OR(K161="",G161=""),"",IF(S161+T161&lt;=Settings!$B$8,Settings!$B$6,Settings!$B$7))</f>
        <v/>
      </c>
      <c r="W161" s="41" t="str">
        <f aca="false">IF(OR(K161="",G161=""),"",S161*IF(UPPER(O161)="Y",Settings!$B$9,0))</f>
        <v/>
      </c>
      <c r="X161" s="41" t="str">
        <f aca="false">IF(OR(K161="",G161=""),"",(S161+T161)*IF(M161="",Settings!$B$11,M161))</f>
        <v/>
      </c>
      <c r="Y161" s="41" t="str">
        <f aca="false">IF(OR(K161="",G161=""),"",U161+V161+W161+X161)</f>
        <v/>
      </c>
      <c r="Z161" s="41" t="str">
        <f aca="false">IF(OR(K161="",G161=""),"",S161-Y161)</f>
        <v/>
      </c>
      <c r="AA161" s="41" t="str">
        <f aca="false">IF(OR(K161="",G161=""),"",Z161*Settings!$B$12)</f>
        <v/>
      </c>
      <c r="AB161" s="41" t="str">
        <f aca="false">IF(OR(K161="",G161=""),"",S161*Settings!$B$13)</f>
        <v/>
      </c>
      <c r="AC161" s="44" t="str">
        <f aca="false">IF(OR(K161="",G161=""),"",Z161-AA161-AB161-J161)</f>
        <v/>
      </c>
      <c r="AD161" s="45" t="str">
        <f aca="false">IF(OR(K161="",G161=""),"",AC161*Settings!$B$14)</f>
        <v/>
      </c>
      <c r="AE161" s="43" t="str">
        <f aca="false">IF(OR(K161="",G161=""),"",IF(S161=0,"",AC161/S161))</f>
        <v/>
      </c>
      <c r="AF161" s="43" t="str">
        <f aca="false">IF(OR(K161="",G161=""),"",IF(J161=0,"",AC161/J161))</f>
        <v/>
      </c>
      <c r="AG161" s="41" t="str">
        <f aca="false">IF(OR(K161="",G161=""),"",(J161+V161)/(1-(1+Settings!$B$10)*(IF(N161="",Settings!$B$5,N161)+IF(M161="",Settings!$B$11,M161))-IF(UPPER(O161)="Y",Settings!$B$9,0)-Settings!$B$13-Settings!$B$12)-N(L161))</f>
        <v/>
      </c>
      <c r="AH161" s="41" t="str">
        <f aca="false">IF(OR(K161="",G161=""),"",(J161+V161+Settings!$B$15)/(1-(1+Settings!$B$10)*(IF(N161="",Settings!$B$5,N161)+IF(M161="",Settings!$B$11,M161))-IF(UPPER(O161)="Y",Settings!$B$9,0)-Settings!$B$13-Settings!$B$12)-N(L161))</f>
        <v/>
      </c>
      <c r="AI161" s="46" t="str">
        <f aca="false">IF(C161="","",IF(OR(ISNUMBER(SEARCH("amazon",C161)),ISNUMBER(SEARCH("walmart",C161)),ISNUMBER(SEARCH("aliexpress",C161)),ISNUMBER(SEARCH("temu",C161))),"⚠ Retail source — not allowed","✓ Wholesale / own stock"))</f>
        <v/>
      </c>
      <c r="AJ161" s="47" t="str">
        <f aca="false">IF(OR(K161="",G161=""),"",IF(LEFT(AI161,1)="⚠","❌ SKIP",IF(AND(AC161&gt;=Settings!$B$15,AF161&gt;=Settings!$B$16,OR(R161="",N(R161)&gt;=Settings!$B$17)),"✅ GO",IF(AC161&gt;0,"⚠ CHECK","❌ SKIP"))))</f>
        <v/>
      </c>
      <c r="AK161" s="38"/>
    </row>
    <row r="162" customFormat="false" ht="15" hidden="false" customHeight="false" outlineLevel="0" collapsed="false">
      <c r="A162" s="37" t="str">
        <f aca="false">IF(B162="","",ROW()-4)</f>
        <v/>
      </c>
      <c r="B162" s="38"/>
      <c r="C162" s="39"/>
      <c r="D162" s="38"/>
      <c r="E162" s="38"/>
      <c r="F162" s="38"/>
      <c r="G162" s="40"/>
      <c r="H162" s="40"/>
      <c r="I162" s="40"/>
      <c r="J162" s="41" t="str">
        <f aca="false">IF(G162="","",G162+N(H162)+N(I162))</f>
        <v/>
      </c>
      <c r="K162" s="40"/>
      <c r="L162" s="40"/>
      <c r="M162" s="42"/>
      <c r="N162" s="42"/>
      <c r="O162" s="39"/>
      <c r="P162" s="38"/>
      <c r="Q162" s="38"/>
      <c r="R162" s="43" t="str">
        <f aca="false">IF(OR(P162="",Q162=""),"",P162/(P162+Q162))</f>
        <v/>
      </c>
      <c r="S162" s="41" t="str">
        <f aca="false">IF(OR(K162="",G162=""),"",K162+N(L162))</f>
        <v/>
      </c>
      <c r="T162" s="41" t="str">
        <f aca="false">IF(OR(K162="",G162=""),"",S162*Settings!$B$10)</f>
        <v/>
      </c>
      <c r="U162" s="41" t="str">
        <f aca="false">IF(OR(K162="",G162=""),"",(S162+T162)*IF(N162="",Settings!$B$5,N162))</f>
        <v/>
      </c>
      <c r="V162" s="41" t="str">
        <f aca="false">IF(OR(K162="",G162=""),"",IF(S162+T162&lt;=Settings!$B$8,Settings!$B$6,Settings!$B$7))</f>
        <v/>
      </c>
      <c r="W162" s="41" t="str">
        <f aca="false">IF(OR(K162="",G162=""),"",S162*IF(UPPER(O162)="Y",Settings!$B$9,0))</f>
        <v/>
      </c>
      <c r="X162" s="41" t="str">
        <f aca="false">IF(OR(K162="",G162=""),"",(S162+T162)*IF(M162="",Settings!$B$11,M162))</f>
        <v/>
      </c>
      <c r="Y162" s="41" t="str">
        <f aca="false">IF(OR(K162="",G162=""),"",U162+V162+W162+X162)</f>
        <v/>
      </c>
      <c r="Z162" s="41" t="str">
        <f aca="false">IF(OR(K162="",G162=""),"",S162-Y162)</f>
        <v/>
      </c>
      <c r="AA162" s="41" t="str">
        <f aca="false">IF(OR(K162="",G162=""),"",Z162*Settings!$B$12)</f>
        <v/>
      </c>
      <c r="AB162" s="41" t="str">
        <f aca="false">IF(OR(K162="",G162=""),"",S162*Settings!$B$13)</f>
        <v/>
      </c>
      <c r="AC162" s="44" t="str">
        <f aca="false">IF(OR(K162="",G162=""),"",Z162-AA162-AB162-J162)</f>
        <v/>
      </c>
      <c r="AD162" s="45" t="str">
        <f aca="false">IF(OR(K162="",G162=""),"",AC162*Settings!$B$14)</f>
        <v/>
      </c>
      <c r="AE162" s="43" t="str">
        <f aca="false">IF(OR(K162="",G162=""),"",IF(S162=0,"",AC162/S162))</f>
        <v/>
      </c>
      <c r="AF162" s="43" t="str">
        <f aca="false">IF(OR(K162="",G162=""),"",IF(J162=0,"",AC162/J162))</f>
        <v/>
      </c>
      <c r="AG162" s="41" t="str">
        <f aca="false">IF(OR(K162="",G162=""),"",(J162+V162)/(1-(1+Settings!$B$10)*(IF(N162="",Settings!$B$5,N162)+IF(M162="",Settings!$B$11,M162))-IF(UPPER(O162)="Y",Settings!$B$9,0)-Settings!$B$13-Settings!$B$12)-N(L162))</f>
        <v/>
      </c>
      <c r="AH162" s="41" t="str">
        <f aca="false">IF(OR(K162="",G162=""),"",(J162+V162+Settings!$B$15)/(1-(1+Settings!$B$10)*(IF(N162="",Settings!$B$5,N162)+IF(M162="",Settings!$B$11,M162))-IF(UPPER(O162)="Y",Settings!$B$9,0)-Settings!$B$13-Settings!$B$12)-N(L162))</f>
        <v/>
      </c>
      <c r="AI162" s="46" t="str">
        <f aca="false">IF(C162="","",IF(OR(ISNUMBER(SEARCH("amazon",C162)),ISNUMBER(SEARCH("walmart",C162)),ISNUMBER(SEARCH("aliexpress",C162)),ISNUMBER(SEARCH("temu",C162))),"⚠ Retail source — not allowed","✓ Wholesale / own stock"))</f>
        <v/>
      </c>
      <c r="AJ162" s="47" t="str">
        <f aca="false">IF(OR(K162="",G162=""),"",IF(LEFT(AI162,1)="⚠","❌ SKIP",IF(AND(AC162&gt;=Settings!$B$15,AF162&gt;=Settings!$B$16,OR(R162="",N(R162)&gt;=Settings!$B$17)),"✅ GO",IF(AC162&gt;0,"⚠ CHECK","❌ SKIP"))))</f>
        <v/>
      </c>
      <c r="AK162" s="38"/>
    </row>
    <row r="163" customFormat="false" ht="15" hidden="false" customHeight="false" outlineLevel="0" collapsed="false">
      <c r="A163" s="37" t="str">
        <f aca="false">IF(B163="","",ROW()-4)</f>
        <v/>
      </c>
      <c r="B163" s="38"/>
      <c r="C163" s="39"/>
      <c r="D163" s="38"/>
      <c r="E163" s="38"/>
      <c r="F163" s="38"/>
      <c r="G163" s="40"/>
      <c r="H163" s="40"/>
      <c r="I163" s="40"/>
      <c r="J163" s="41" t="str">
        <f aca="false">IF(G163="","",G163+N(H163)+N(I163))</f>
        <v/>
      </c>
      <c r="K163" s="40"/>
      <c r="L163" s="40"/>
      <c r="M163" s="42"/>
      <c r="N163" s="42"/>
      <c r="O163" s="39"/>
      <c r="P163" s="38"/>
      <c r="Q163" s="38"/>
      <c r="R163" s="43" t="str">
        <f aca="false">IF(OR(P163="",Q163=""),"",P163/(P163+Q163))</f>
        <v/>
      </c>
      <c r="S163" s="41" t="str">
        <f aca="false">IF(OR(K163="",G163=""),"",K163+N(L163))</f>
        <v/>
      </c>
      <c r="T163" s="41" t="str">
        <f aca="false">IF(OR(K163="",G163=""),"",S163*Settings!$B$10)</f>
        <v/>
      </c>
      <c r="U163" s="41" t="str">
        <f aca="false">IF(OR(K163="",G163=""),"",(S163+T163)*IF(N163="",Settings!$B$5,N163))</f>
        <v/>
      </c>
      <c r="V163" s="41" t="str">
        <f aca="false">IF(OR(K163="",G163=""),"",IF(S163+T163&lt;=Settings!$B$8,Settings!$B$6,Settings!$B$7))</f>
        <v/>
      </c>
      <c r="W163" s="41" t="str">
        <f aca="false">IF(OR(K163="",G163=""),"",S163*IF(UPPER(O163)="Y",Settings!$B$9,0))</f>
        <v/>
      </c>
      <c r="X163" s="41" t="str">
        <f aca="false">IF(OR(K163="",G163=""),"",(S163+T163)*IF(M163="",Settings!$B$11,M163))</f>
        <v/>
      </c>
      <c r="Y163" s="41" t="str">
        <f aca="false">IF(OR(K163="",G163=""),"",U163+V163+W163+X163)</f>
        <v/>
      </c>
      <c r="Z163" s="41" t="str">
        <f aca="false">IF(OR(K163="",G163=""),"",S163-Y163)</f>
        <v/>
      </c>
      <c r="AA163" s="41" t="str">
        <f aca="false">IF(OR(K163="",G163=""),"",Z163*Settings!$B$12)</f>
        <v/>
      </c>
      <c r="AB163" s="41" t="str">
        <f aca="false">IF(OR(K163="",G163=""),"",S163*Settings!$B$13)</f>
        <v/>
      </c>
      <c r="AC163" s="44" t="str">
        <f aca="false">IF(OR(K163="",G163=""),"",Z163-AA163-AB163-J163)</f>
        <v/>
      </c>
      <c r="AD163" s="45" t="str">
        <f aca="false">IF(OR(K163="",G163=""),"",AC163*Settings!$B$14)</f>
        <v/>
      </c>
      <c r="AE163" s="43" t="str">
        <f aca="false">IF(OR(K163="",G163=""),"",IF(S163=0,"",AC163/S163))</f>
        <v/>
      </c>
      <c r="AF163" s="43" t="str">
        <f aca="false">IF(OR(K163="",G163=""),"",IF(J163=0,"",AC163/J163))</f>
        <v/>
      </c>
      <c r="AG163" s="41" t="str">
        <f aca="false">IF(OR(K163="",G163=""),"",(J163+V163)/(1-(1+Settings!$B$10)*(IF(N163="",Settings!$B$5,N163)+IF(M163="",Settings!$B$11,M163))-IF(UPPER(O163)="Y",Settings!$B$9,0)-Settings!$B$13-Settings!$B$12)-N(L163))</f>
        <v/>
      </c>
      <c r="AH163" s="41" t="str">
        <f aca="false">IF(OR(K163="",G163=""),"",(J163+V163+Settings!$B$15)/(1-(1+Settings!$B$10)*(IF(N163="",Settings!$B$5,N163)+IF(M163="",Settings!$B$11,M163))-IF(UPPER(O163)="Y",Settings!$B$9,0)-Settings!$B$13-Settings!$B$12)-N(L163))</f>
        <v/>
      </c>
      <c r="AI163" s="46" t="str">
        <f aca="false">IF(C163="","",IF(OR(ISNUMBER(SEARCH("amazon",C163)),ISNUMBER(SEARCH("walmart",C163)),ISNUMBER(SEARCH("aliexpress",C163)),ISNUMBER(SEARCH("temu",C163))),"⚠ Retail source — not allowed","✓ Wholesale / own stock"))</f>
        <v/>
      </c>
      <c r="AJ163" s="47" t="str">
        <f aca="false">IF(OR(K163="",G163=""),"",IF(LEFT(AI163,1)="⚠","❌ SKIP",IF(AND(AC163&gt;=Settings!$B$15,AF163&gt;=Settings!$B$16,OR(R163="",N(R163)&gt;=Settings!$B$17)),"✅ GO",IF(AC163&gt;0,"⚠ CHECK","❌ SKIP"))))</f>
        <v/>
      </c>
      <c r="AK163" s="38"/>
    </row>
    <row r="164" customFormat="false" ht="15" hidden="false" customHeight="false" outlineLevel="0" collapsed="false">
      <c r="A164" s="37" t="str">
        <f aca="false">IF(B164="","",ROW()-4)</f>
        <v/>
      </c>
      <c r="B164" s="38"/>
      <c r="C164" s="39"/>
      <c r="D164" s="38"/>
      <c r="E164" s="38"/>
      <c r="F164" s="38"/>
      <c r="G164" s="40"/>
      <c r="H164" s="40"/>
      <c r="I164" s="40"/>
      <c r="J164" s="41" t="str">
        <f aca="false">IF(G164="","",G164+N(H164)+N(I164))</f>
        <v/>
      </c>
      <c r="K164" s="40"/>
      <c r="L164" s="40"/>
      <c r="M164" s="42"/>
      <c r="N164" s="42"/>
      <c r="O164" s="39"/>
      <c r="P164" s="38"/>
      <c r="Q164" s="38"/>
      <c r="R164" s="43" t="str">
        <f aca="false">IF(OR(P164="",Q164=""),"",P164/(P164+Q164))</f>
        <v/>
      </c>
      <c r="S164" s="41" t="str">
        <f aca="false">IF(OR(K164="",G164=""),"",K164+N(L164))</f>
        <v/>
      </c>
      <c r="T164" s="41" t="str">
        <f aca="false">IF(OR(K164="",G164=""),"",S164*Settings!$B$10)</f>
        <v/>
      </c>
      <c r="U164" s="41" t="str">
        <f aca="false">IF(OR(K164="",G164=""),"",(S164+T164)*IF(N164="",Settings!$B$5,N164))</f>
        <v/>
      </c>
      <c r="V164" s="41" t="str">
        <f aca="false">IF(OR(K164="",G164=""),"",IF(S164+T164&lt;=Settings!$B$8,Settings!$B$6,Settings!$B$7))</f>
        <v/>
      </c>
      <c r="W164" s="41" t="str">
        <f aca="false">IF(OR(K164="",G164=""),"",S164*IF(UPPER(O164)="Y",Settings!$B$9,0))</f>
        <v/>
      </c>
      <c r="X164" s="41" t="str">
        <f aca="false">IF(OR(K164="",G164=""),"",(S164+T164)*IF(M164="",Settings!$B$11,M164))</f>
        <v/>
      </c>
      <c r="Y164" s="41" t="str">
        <f aca="false">IF(OR(K164="",G164=""),"",U164+V164+W164+X164)</f>
        <v/>
      </c>
      <c r="Z164" s="41" t="str">
        <f aca="false">IF(OR(K164="",G164=""),"",S164-Y164)</f>
        <v/>
      </c>
      <c r="AA164" s="41" t="str">
        <f aca="false">IF(OR(K164="",G164=""),"",Z164*Settings!$B$12)</f>
        <v/>
      </c>
      <c r="AB164" s="41" t="str">
        <f aca="false">IF(OR(K164="",G164=""),"",S164*Settings!$B$13)</f>
        <v/>
      </c>
      <c r="AC164" s="44" t="str">
        <f aca="false">IF(OR(K164="",G164=""),"",Z164-AA164-AB164-J164)</f>
        <v/>
      </c>
      <c r="AD164" s="45" t="str">
        <f aca="false">IF(OR(K164="",G164=""),"",AC164*Settings!$B$14)</f>
        <v/>
      </c>
      <c r="AE164" s="43" t="str">
        <f aca="false">IF(OR(K164="",G164=""),"",IF(S164=0,"",AC164/S164))</f>
        <v/>
      </c>
      <c r="AF164" s="43" t="str">
        <f aca="false">IF(OR(K164="",G164=""),"",IF(J164=0,"",AC164/J164))</f>
        <v/>
      </c>
      <c r="AG164" s="41" t="str">
        <f aca="false">IF(OR(K164="",G164=""),"",(J164+V164)/(1-(1+Settings!$B$10)*(IF(N164="",Settings!$B$5,N164)+IF(M164="",Settings!$B$11,M164))-IF(UPPER(O164)="Y",Settings!$B$9,0)-Settings!$B$13-Settings!$B$12)-N(L164))</f>
        <v/>
      </c>
      <c r="AH164" s="41" t="str">
        <f aca="false">IF(OR(K164="",G164=""),"",(J164+V164+Settings!$B$15)/(1-(1+Settings!$B$10)*(IF(N164="",Settings!$B$5,N164)+IF(M164="",Settings!$B$11,M164))-IF(UPPER(O164)="Y",Settings!$B$9,0)-Settings!$B$13-Settings!$B$12)-N(L164))</f>
        <v/>
      </c>
      <c r="AI164" s="46" t="str">
        <f aca="false">IF(C164="","",IF(OR(ISNUMBER(SEARCH("amazon",C164)),ISNUMBER(SEARCH("walmart",C164)),ISNUMBER(SEARCH("aliexpress",C164)),ISNUMBER(SEARCH("temu",C164))),"⚠ Retail source — not allowed","✓ Wholesale / own stock"))</f>
        <v/>
      </c>
      <c r="AJ164" s="47" t="str">
        <f aca="false">IF(OR(K164="",G164=""),"",IF(LEFT(AI164,1)="⚠","❌ SKIP",IF(AND(AC164&gt;=Settings!$B$15,AF164&gt;=Settings!$B$16,OR(R164="",N(R164)&gt;=Settings!$B$17)),"✅ GO",IF(AC164&gt;0,"⚠ CHECK","❌ SKIP"))))</f>
        <v/>
      </c>
      <c r="AK164" s="38"/>
    </row>
    <row r="165" customFormat="false" ht="15" hidden="false" customHeight="false" outlineLevel="0" collapsed="false">
      <c r="A165" s="37" t="str">
        <f aca="false">IF(B165="","",ROW()-4)</f>
        <v/>
      </c>
      <c r="B165" s="38"/>
      <c r="C165" s="39"/>
      <c r="D165" s="38"/>
      <c r="E165" s="38"/>
      <c r="F165" s="38"/>
      <c r="G165" s="40"/>
      <c r="H165" s="40"/>
      <c r="I165" s="40"/>
      <c r="J165" s="41" t="str">
        <f aca="false">IF(G165="","",G165+N(H165)+N(I165))</f>
        <v/>
      </c>
      <c r="K165" s="40"/>
      <c r="L165" s="40"/>
      <c r="M165" s="42"/>
      <c r="N165" s="42"/>
      <c r="O165" s="39"/>
      <c r="P165" s="38"/>
      <c r="Q165" s="38"/>
      <c r="R165" s="43" t="str">
        <f aca="false">IF(OR(P165="",Q165=""),"",P165/(P165+Q165))</f>
        <v/>
      </c>
      <c r="S165" s="41" t="str">
        <f aca="false">IF(OR(K165="",G165=""),"",K165+N(L165))</f>
        <v/>
      </c>
      <c r="T165" s="41" t="str">
        <f aca="false">IF(OR(K165="",G165=""),"",S165*Settings!$B$10)</f>
        <v/>
      </c>
      <c r="U165" s="41" t="str">
        <f aca="false">IF(OR(K165="",G165=""),"",(S165+T165)*IF(N165="",Settings!$B$5,N165))</f>
        <v/>
      </c>
      <c r="V165" s="41" t="str">
        <f aca="false">IF(OR(K165="",G165=""),"",IF(S165+T165&lt;=Settings!$B$8,Settings!$B$6,Settings!$B$7))</f>
        <v/>
      </c>
      <c r="W165" s="41" t="str">
        <f aca="false">IF(OR(K165="",G165=""),"",S165*IF(UPPER(O165)="Y",Settings!$B$9,0))</f>
        <v/>
      </c>
      <c r="X165" s="41" t="str">
        <f aca="false">IF(OR(K165="",G165=""),"",(S165+T165)*IF(M165="",Settings!$B$11,M165))</f>
        <v/>
      </c>
      <c r="Y165" s="41" t="str">
        <f aca="false">IF(OR(K165="",G165=""),"",U165+V165+W165+X165)</f>
        <v/>
      </c>
      <c r="Z165" s="41" t="str">
        <f aca="false">IF(OR(K165="",G165=""),"",S165-Y165)</f>
        <v/>
      </c>
      <c r="AA165" s="41" t="str">
        <f aca="false">IF(OR(K165="",G165=""),"",Z165*Settings!$B$12)</f>
        <v/>
      </c>
      <c r="AB165" s="41" t="str">
        <f aca="false">IF(OR(K165="",G165=""),"",S165*Settings!$B$13)</f>
        <v/>
      </c>
      <c r="AC165" s="44" t="str">
        <f aca="false">IF(OR(K165="",G165=""),"",Z165-AA165-AB165-J165)</f>
        <v/>
      </c>
      <c r="AD165" s="45" t="str">
        <f aca="false">IF(OR(K165="",G165=""),"",AC165*Settings!$B$14)</f>
        <v/>
      </c>
      <c r="AE165" s="43" t="str">
        <f aca="false">IF(OR(K165="",G165=""),"",IF(S165=0,"",AC165/S165))</f>
        <v/>
      </c>
      <c r="AF165" s="43" t="str">
        <f aca="false">IF(OR(K165="",G165=""),"",IF(J165=0,"",AC165/J165))</f>
        <v/>
      </c>
      <c r="AG165" s="41" t="str">
        <f aca="false">IF(OR(K165="",G165=""),"",(J165+V165)/(1-(1+Settings!$B$10)*(IF(N165="",Settings!$B$5,N165)+IF(M165="",Settings!$B$11,M165))-IF(UPPER(O165)="Y",Settings!$B$9,0)-Settings!$B$13-Settings!$B$12)-N(L165))</f>
        <v/>
      </c>
      <c r="AH165" s="41" t="str">
        <f aca="false">IF(OR(K165="",G165=""),"",(J165+V165+Settings!$B$15)/(1-(1+Settings!$B$10)*(IF(N165="",Settings!$B$5,N165)+IF(M165="",Settings!$B$11,M165))-IF(UPPER(O165)="Y",Settings!$B$9,0)-Settings!$B$13-Settings!$B$12)-N(L165))</f>
        <v/>
      </c>
      <c r="AI165" s="46" t="str">
        <f aca="false">IF(C165="","",IF(OR(ISNUMBER(SEARCH("amazon",C165)),ISNUMBER(SEARCH("walmart",C165)),ISNUMBER(SEARCH("aliexpress",C165)),ISNUMBER(SEARCH("temu",C165))),"⚠ Retail source — not allowed","✓ Wholesale / own stock"))</f>
        <v/>
      </c>
      <c r="AJ165" s="47" t="str">
        <f aca="false">IF(OR(K165="",G165=""),"",IF(LEFT(AI165,1)="⚠","❌ SKIP",IF(AND(AC165&gt;=Settings!$B$15,AF165&gt;=Settings!$B$16,OR(R165="",N(R165)&gt;=Settings!$B$17)),"✅ GO",IF(AC165&gt;0,"⚠ CHECK","❌ SKIP"))))</f>
        <v/>
      </c>
      <c r="AK165" s="38"/>
    </row>
    <row r="166" customFormat="false" ht="15" hidden="false" customHeight="false" outlineLevel="0" collapsed="false">
      <c r="A166" s="37" t="str">
        <f aca="false">IF(B166="","",ROW()-4)</f>
        <v/>
      </c>
      <c r="B166" s="38"/>
      <c r="C166" s="39"/>
      <c r="D166" s="38"/>
      <c r="E166" s="38"/>
      <c r="F166" s="38"/>
      <c r="G166" s="40"/>
      <c r="H166" s="40"/>
      <c r="I166" s="40"/>
      <c r="J166" s="41" t="str">
        <f aca="false">IF(G166="","",G166+N(H166)+N(I166))</f>
        <v/>
      </c>
      <c r="K166" s="40"/>
      <c r="L166" s="40"/>
      <c r="M166" s="42"/>
      <c r="N166" s="42"/>
      <c r="O166" s="39"/>
      <c r="P166" s="38"/>
      <c r="Q166" s="38"/>
      <c r="R166" s="43" t="str">
        <f aca="false">IF(OR(P166="",Q166=""),"",P166/(P166+Q166))</f>
        <v/>
      </c>
      <c r="S166" s="41" t="str">
        <f aca="false">IF(OR(K166="",G166=""),"",K166+N(L166))</f>
        <v/>
      </c>
      <c r="T166" s="41" t="str">
        <f aca="false">IF(OR(K166="",G166=""),"",S166*Settings!$B$10)</f>
        <v/>
      </c>
      <c r="U166" s="41" t="str">
        <f aca="false">IF(OR(K166="",G166=""),"",(S166+T166)*IF(N166="",Settings!$B$5,N166))</f>
        <v/>
      </c>
      <c r="V166" s="41" t="str">
        <f aca="false">IF(OR(K166="",G166=""),"",IF(S166+T166&lt;=Settings!$B$8,Settings!$B$6,Settings!$B$7))</f>
        <v/>
      </c>
      <c r="W166" s="41" t="str">
        <f aca="false">IF(OR(K166="",G166=""),"",S166*IF(UPPER(O166)="Y",Settings!$B$9,0))</f>
        <v/>
      </c>
      <c r="X166" s="41" t="str">
        <f aca="false">IF(OR(K166="",G166=""),"",(S166+T166)*IF(M166="",Settings!$B$11,M166))</f>
        <v/>
      </c>
      <c r="Y166" s="41" t="str">
        <f aca="false">IF(OR(K166="",G166=""),"",U166+V166+W166+X166)</f>
        <v/>
      </c>
      <c r="Z166" s="41" t="str">
        <f aca="false">IF(OR(K166="",G166=""),"",S166-Y166)</f>
        <v/>
      </c>
      <c r="AA166" s="41" t="str">
        <f aca="false">IF(OR(K166="",G166=""),"",Z166*Settings!$B$12)</f>
        <v/>
      </c>
      <c r="AB166" s="41" t="str">
        <f aca="false">IF(OR(K166="",G166=""),"",S166*Settings!$B$13)</f>
        <v/>
      </c>
      <c r="AC166" s="44" t="str">
        <f aca="false">IF(OR(K166="",G166=""),"",Z166-AA166-AB166-J166)</f>
        <v/>
      </c>
      <c r="AD166" s="45" t="str">
        <f aca="false">IF(OR(K166="",G166=""),"",AC166*Settings!$B$14)</f>
        <v/>
      </c>
      <c r="AE166" s="43" t="str">
        <f aca="false">IF(OR(K166="",G166=""),"",IF(S166=0,"",AC166/S166))</f>
        <v/>
      </c>
      <c r="AF166" s="43" t="str">
        <f aca="false">IF(OR(K166="",G166=""),"",IF(J166=0,"",AC166/J166))</f>
        <v/>
      </c>
      <c r="AG166" s="41" t="str">
        <f aca="false">IF(OR(K166="",G166=""),"",(J166+V166)/(1-(1+Settings!$B$10)*(IF(N166="",Settings!$B$5,N166)+IF(M166="",Settings!$B$11,M166))-IF(UPPER(O166)="Y",Settings!$B$9,0)-Settings!$B$13-Settings!$B$12)-N(L166))</f>
        <v/>
      </c>
      <c r="AH166" s="41" t="str">
        <f aca="false">IF(OR(K166="",G166=""),"",(J166+V166+Settings!$B$15)/(1-(1+Settings!$B$10)*(IF(N166="",Settings!$B$5,N166)+IF(M166="",Settings!$B$11,M166))-IF(UPPER(O166)="Y",Settings!$B$9,0)-Settings!$B$13-Settings!$B$12)-N(L166))</f>
        <v/>
      </c>
      <c r="AI166" s="46" t="str">
        <f aca="false">IF(C166="","",IF(OR(ISNUMBER(SEARCH("amazon",C166)),ISNUMBER(SEARCH("walmart",C166)),ISNUMBER(SEARCH("aliexpress",C166)),ISNUMBER(SEARCH("temu",C166))),"⚠ Retail source — not allowed","✓ Wholesale / own stock"))</f>
        <v/>
      </c>
      <c r="AJ166" s="47" t="str">
        <f aca="false">IF(OR(K166="",G166=""),"",IF(LEFT(AI166,1)="⚠","❌ SKIP",IF(AND(AC166&gt;=Settings!$B$15,AF166&gt;=Settings!$B$16,OR(R166="",N(R166)&gt;=Settings!$B$17)),"✅ GO",IF(AC166&gt;0,"⚠ CHECK","❌ SKIP"))))</f>
        <v/>
      </c>
      <c r="AK166" s="38"/>
    </row>
    <row r="167" customFormat="false" ht="15" hidden="false" customHeight="false" outlineLevel="0" collapsed="false">
      <c r="A167" s="37" t="str">
        <f aca="false">IF(B167="","",ROW()-4)</f>
        <v/>
      </c>
      <c r="B167" s="38"/>
      <c r="C167" s="39"/>
      <c r="D167" s="38"/>
      <c r="E167" s="38"/>
      <c r="F167" s="38"/>
      <c r="G167" s="40"/>
      <c r="H167" s="40"/>
      <c r="I167" s="40"/>
      <c r="J167" s="41" t="str">
        <f aca="false">IF(G167="","",G167+N(H167)+N(I167))</f>
        <v/>
      </c>
      <c r="K167" s="40"/>
      <c r="L167" s="40"/>
      <c r="M167" s="42"/>
      <c r="N167" s="42"/>
      <c r="O167" s="39"/>
      <c r="P167" s="38"/>
      <c r="Q167" s="38"/>
      <c r="R167" s="43" t="str">
        <f aca="false">IF(OR(P167="",Q167=""),"",P167/(P167+Q167))</f>
        <v/>
      </c>
      <c r="S167" s="41" t="str">
        <f aca="false">IF(OR(K167="",G167=""),"",K167+N(L167))</f>
        <v/>
      </c>
      <c r="T167" s="41" t="str">
        <f aca="false">IF(OR(K167="",G167=""),"",S167*Settings!$B$10)</f>
        <v/>
      </c>
      <c r="U167" s="41" t="str">
        <f aca="false">IF(OR(K167="",G167=""),"",(S167+T167)*IF(N167="",Settings!$B$5,N167))</f>
        <v/>
      </c>
      <c r="V167" s="41" t="str">
        <f aca="false">IF(OR(K167="",G167=""),"",IF(S167+T167&lt;=Settings!$B$8,Settings!$B$6,Settings!$B$7))</f>
        <v/>
      </c>
      <c r="W167" s="41" t="str">
        <f aca="false">IF(OR(K167="",G167=""),"",S167*IF(UPPER(O167)="Y",Settings!$B$9,0))</f>
        <v/>
      </c>
      <c r="X167" s="41" t="str">
        <f aca="false">IF(OR(K167="",G167=""),"",(S167+T167)*IF(M167="",Settings!$B$11,M167))</f>
        <v/>
      </c>
      <c r="Y167" s="41" t="str">
        <f aca="false">IF(OR(K167="",G167=""),"",U167+V167+W167+X167)</f>
        <v/>
      </c>
      <c r="Z167" s="41" t="str">
        <f aca="false">IF(OR(K167="",G167=""),"",S167-Y167)</f>
        <v/>
      </c>
      <c r="AA167" s="41" t="str">
        <f aca="false">IF(OR(K167="",G167=""),"",Z167*Settings!$B$12)</f>
        <v/>
      </c>
      <c r="AB167" s="41" t="str">
        <f aca="false">IF(OR(K167="",G167=""),"",S167*Settings!$B$13)</f>
        <v/>
      </c>
      <c r="AC167" s="44" t="str">
        <f aca="false">IF(OR(K167="",G167=""),"",Z167-AA167-AB167-J167)</f>
        <v/>
      </c>
      <c r="AD167" s="45" t="str">
        <f aca="false">IF(OR(K167="",G167=""),"",AC167*Settings!$B$14)</f>
        <v/>
      </c>
      <c r="AE167" s="43" t="str">
        <f aca="false">IF(OR(K167="",G167=""),"",IF(S167=0,"",AC167/S167))</f>
        <v/>
      </c>
      <c r="AF167" s="43" t="str">
        <f aca="false">IF(OR(K167="",G167=""),"",IF(J167=0,"",AC167/J167))</f>
        <v/>
      </c>
      <c r="AG167" s="41" t="str">
        <f aca="false">IF(OR(K167="",G167=""),"",(J167+V167)/(1-(1+Settings!$B$10)*(IF(N167="",Settings!$B$5,N167)+IF(M167="",Settings!$B$11,M167))-IF(UPPER(O167)="Y",Settings!$B$9,0)-Settings!$B$13-Settings!$B$12)-N(L167))</f>
        <v/>
      </c>
      <c r="AH167" s="41" t="str">
        <f aca="false">IF(OR(K167="",G167=""),"",(J167+V167+Settings!$B$15)/(1-(1+Settings!$B$10)*(IF(N167="",Settings!$B$5,N167)+IF(M167="",Settings!$B$11,M167))-IF(UPPER(O167)="Y",Settings!$B$9,0)-Settings!$B$13-Settings!$B$12)-N(L167))</f>
        <v/>
      </c>
      <c r="AI167" s="46" t="str">
        <f aca="false">IF(C167="","",IF(OR(ISNUMBER(SEARCH("amazon",C167)),ISNUMBER(SEARCH("walmart",C167)),ISNUMBER(SEARCH("aliexpress",C167)),ISNUMBER(SEARCH("temu",C167))),"⚠ Retail source — not allowed","✓ Wholesale / own stock"))</f>
        <v/>
      </c>
      <c r="AJ167" s="47" t="str">
        <f aca="false">IF(OR(K167="",G167=""),"",IF(LEFT(AI167,1)="⚠","❌ SKIP",IF(AND(AC167&gt;=Settings!$B$15,AF167&gt;=Settings!$B$16,OR(R167="",N(R167)&gt;=Settings!$B$17)),"✅ GO",IF(AC167&gt;0,"⚠ CHECK","❌ SKIP"))))</f>
        <v/>
      </c>
      <c r="AK167" s="38"/>
    </row>
    <row r="168" customFormat="false" ht="15" hidden="false" customHeight="false" outlineLevel="0" collapsed="false">
      <c r="A168" s="37" t="str">
        <f aca="false">IF(B168="","",ROW()-4)</f>
        <v/>
      </c>
      <c r="B168" s="38"/>
      <c r="C168" s="39"/>
      <c r="D168" s="38"/>
      <c r="E168" s="38"/>
      <c r="F168" s="38"/>
      <c r="G168" s="40"/>
      <c r="H168" s="40"/>
      <c r="I168" s="40"/>
      <c r="J168" s="41" t="str">
        <f aca="false">IF(G168="","",G168+N(H168)+N(I168))</f>
        <v/>
      </c>
      <c r="K168" s="40"/>
      <c r="L168" s="40"/>
      <c r="M168" s="42"/>
      <c r="N168" s="42"/>
      <c r="O168" s="39"/>
      <c r="P168" s="38"/>
      <c r="Q168" s="38"/>
      <c r="R168" s="43" t="str">
        <f aca="false">IF(OR(P168="",Q168=""),"",P168/(P168+Q168))</f>
        <v/>
      </c>
      <c r="S168" s="41" t="str">
        <f aca="false">IF(OR(K168="",G168=""),"",K168+N(L168))</f>
        <v/>
      </c>
      <c r="T168" s="41" t="str">
        <f aca="false">IF(OR(K168="",G168=""),"",S168*Settings!$B$10)</f>
        <v/>
      </c>
      <c r="U168" s="41" t="str">
        <f aca="false">IF(OR(K168="",G168=""),"",(S168+T168)*IF(N168="",Settings!$B$5,N168))</f>
        <v/>
      </c>
      <c r="V168" s="41" t="str">
        <f aca="false">IF(OR(K168="",G168=""),"",IF(S168+T168&lt;=Settings!$B$8,Settings!$B$6,Settings!$B$7))</f>
        <v/>
      </c>
      <c r="W168" s="41" t="str">
        <f aca="false">IF(OR(K168="",G168=""),"",S168*IF(UPPER(O168)="Y",Settings!$B$9,0))</f>
        <v/>
      </c>
      <c r="X168" s="41" t="str">
        <f aca="false">IF(OR(K168="",G168=""),"",(S168+T168)*IF(M168="",Settings!$B$11,M168))</f>
        <v/>
      </c>
      <c r="Y168" s="41" t="str">
        <f aca="false">IF(OR(K168="",G168=""),"",U168+V168+W168+X168)</f>
        <v/>
      </c>
      <c r="Z168" s="41" t="str">
        <f aca="false">IF(OR(K168="",G168=""),"",S168-Y168)</f>
        <v/>
      </c>
      <c r="AA168" s="41" t="str">
        <f aca="false">IF(OR(K168="",G168=""),"",Z168*Settings!$B$12)</f>
        <v/>
      </c>
      <c r="AB168" s="41" t="str">
        <f aca="false">IF(OR(K168="",G168=""),"",S168*Settings!$B$13)</f>
        <v/>
      </c>
      <c r="AC168" s="44" t="str">
        <f aca="false">IF(OR(K168="",G168=""),"",Z168-AA168-AB168-J168)</f>
        <v/>
      </c>
      <c r="AD168" s="45" t="str">
        <f aca="false">IF(OR(K168="",G168=""),"",AC168*Settings!$B$14)</f>
        <v/>
      </c>
      <c r="AE168" s="43" t="str">
        <f aca="false">IF(OR(K168="",G168=""),"",IF(S168=0,"",AC168/S168))</f>
        <v/>
      </c>
      <c r="AF168" s="43" t="str">
        <f aca="false">IF(OR(K168="",G168=""),"",IF(J168=0,"",AC168/J168))</f>
        <v/>
      </c>
      <c r="AG168" s="41" t="str">
        <f aca="false">IF(OR(K168="",G168=""),"",(J168+V168)/(1-(1+Settings!$B$10)*(IF(N168="",Settings!$B$5,N168)+IF(M168="",Settings!$B$11,M168))-IF(UPPER(O168)="Y",Settings!$B$9,0)-Settings!$B$13-Settings!$B$12)-N(L168))</f>
        <v/>
      </c>
      <c r="AH168" s="41" t="str">
        <f aca="false">IF(OR(K168="",G168=""),"",(J168+V168+Settings!$B$15)/(1-(1+Settings!$B$10)*(IF(N168="",Settings!$B$5,N168)+IF(M168="",Settings!$B$11,M168))-IF(UPPER(O168)="Y",Settings!$B$9,0)-Settings!$B$13-Settings!$B$12)-N(L168))</f>
        <v/>
      </c>
      <c r="AI168" s="46" t="str">
        <f aca="false">IF(C168="","",IF(OR(ISNUMBER(SEARCH("amazon",C168)),ISNUMBER(SEARCH("walmart",C168)),ISNUMBER(SEARCH("aliexpress",C168)),ISNUMBER(SEARCH("temu",C168))),"⚠ Retail source — not allowed","✓ Wholesale / own stock"))</f>
        <v/>
      </c>
      <c r="AJ168" s="47" t="str">
        <f aca="false">IF(OR(K168="",G168=""),"",IF(LEFT(AI168,1)="⚠","❌ SKIP",IF(AND(AC168&gt;=Settings!$B$15,AF168&gt;=Settings!$B$16,OR(R168="",N(R168)&gt;=Settings!$B$17)),"✅ GO",IF(AC168&gt;0,"⚠ CHECK","❌ SKIP"))))</f>
        <v/>
      </c>
      <c r="AK168" s="38"/>
    </row>
    <row r="169" customFormat="false" ht="15" hidden="false" customHeight="false" outlineLevel="0" collapsed="false">
      <c r="A169" s="37" t="str">
        <f aca="false">IF(B169="","",ROW()-4)</f>
        <v/>
      </c>
      <c r="B169" s="38"/>
      <c r="C169" s="39"/>
      <c r="D169" s="38"/>
      <c r="E169" s="38"/>
      <c r="F169" s="38"/>
      <c r="G169" s="40"/>
      <c r="H169" s="40"/>
      <c r="I169" s="40"/>
      <c r="J169" s="41" t="str">
        <f aca="false">IF(G169="","",G169+N(H169)+N(I169))</f>
        <v/>
      </c>
      <c r="K169" s="40"/>
      <c r="L169" s="40"/>
      <c r="M169" s="42"/>
      <c r="N169" s="42"/>
      <c r="O169" s="39"/>
      <c r="P169" s="38"/>
      <c r="Q169" s="38"/>
      <c r="R169" s="43" t="str">
        <f aca="false">IF(OR(P169="",Q169=""),"",P169/(P169+Q169))</f>
        <v/>
      </c>
      <c r="S169" s="41" t="str">
        <f aca="false">IF(OR(K169="",G169=""),"",K169+N(L169))</f>
        <v/>
      </c>
      <c r="T169" s="41" t="str">
        <f aca="false">IF(OR(K169="",G169=""),"",S169*Settings!$B$10)</f>
        <v/>
      </c>
      <c r="U169" s="41" t="str">
        <f aca="false">IF(OR(K169="",G169=""),"",(S169+T169)*IF(N169="",Settings!$B$5,N169))</f>
        <v/>
      </c>
      <c r="V169" s="41" t="str">
        <f aca="false">IF(OR(K169="",G169=""),"",IF(S169+T169&lt;=Settings!$B$8,Settings!$B$6,Settings!$B$7))</f>
        <v/>
      </c>
      <c r="W169" s="41" t="str">
        <f aca="false">IF(OR(K169="",G169=""),"",S169*IF(UPPER(O169)="Y",Settings!$B$9,0))</f>
        <v/>
      </c>
      <c r="X169" s="41" t="str">
        <f aca="false">IF(OR(K169="",G169=""),"",(S169+T169)*IF(M169="",Settings!$B$11,M169))</f>
        <v/>
      </c>
      <c r="Y169" s="41" t="str">
        <f aca="false">IF(OR(K169="",G169=""),"",U169+V169+W169+X169)</f>
        <v/>
      </c>
      <c r="Z169" s="41" t="str">
        <f aca="false">IF(OR(K169="",G169=""),"",S169-Y169)</f>
        <v/>
      </c>
      <c r="AA169" s="41" t="str">
        <f aca="false">IF(OR(K169="",G169=""),"",Z169*Settings!$B$12)</f>
        <v/>
      </c>
      <c r="AB169" s="41" t="str">
        <f aca="false">IF(OR(K169="",G169=""),"",S169*Settings!$B$13)</f>
        <v/>
      </c>
      <c r="AC169" s="44" t="str">
        <f aca="false">IF(OR(K169="",G169=""),"",Z169-AA169-AB169-J169)</f>
        <v/>
      </c>
      <c r="AD169" s="45" t="str">
        <f aca="false">IF(OR(K169="",G169=""),"",AC169*Settings!$B$14)</f>
        <v/>
      </c>
      <c r="AE169" s="43" t="str">
        <f aca="false">IF(OR(K169="",G169=""),"",IF(S169=0,"",AC169/S169))</f>
        <v/>
      </c>
      <c r="AF169" s="43" t="str">
        <f aca="false">IF(OR(K169="",G169=""),"",IF(J169=0,"",AC169/J169))</f>
        <v/>
      </c>
      <c r="AG169" s="41" t="str">
        <f aca="false">IF(OR(K169="",G169=""),"",(J169+V169)/(1-(1+Settings!$B$10)*(IF(N169="",Settings!$B$5,N169)+IF(M169="",Settings!$B$11,M169))-IF(UPPER(O169)="Y",Settings!$B$9,0)-Settings!$B$13-Settings!$B$12)-N(L169))</f>
        <v/>
      </c>
      <c r="AH169" s="41" t="str">
        <f aca="false">IF(OR(K169="",G169=""),"",(J169+V169+Settings!$B$15)/(1-(1+Settings!$B$10)*(IF(N169="",Settings!$B$5,N169)+IF(M169="",Settings!$B$11,M169))-IF(UPPER(O169)="Y",Settings!$B$9,0)-Settings!$B$13-Settings!$B$12)-N(L169))</f>
        <v/>
      </c>
      <c r="AI169" s="46" t="str">
        <f aca="false">IF(C169="","",IF(OR(ISNUMBER(SEARCH("amazon",C169)),ISNUMBER(SEARCH("walmart",C169)),ISNUMBER(SEARCH("aliexpress",C169)),ISNUMBER(SEARCH("temu",C169))),"⚠ Retail source — not allowed","✓ Wholesale / own stock"))</f>
        <v/>
      </c>
      <c r="AJ169" s="47" t="str">
        <f aca="false">IF(OR(K169="",G169=""),"",IF(LEFT(AI169,1)="⚠","❌ SKIP",IF(AND(AC169&gt;=Settings!$B$15,AF169&gt;=Settings!$B$16,OR(R169="",N(R169)&gt;=Settings!$B$17)),"✅ GO",IF(AC169&gt;0,"⚠ CHECK","❌ SKIP"))))</f>
        <v/>
      </c>
      <c r="AK169" s="38"/>
    </row>
    <row r="170" customFormat="false" ht="15" hidden="false" customHeight="false" outlineLevel="0" collapsed="false">
      <c r="A170" s="37" t="str">
        <f aca="false">IF(B170="","",ROW()-4)</f>
        <v/>
      </c>
      <c r="B170" s="38"/>
      <c r="C170" s="39"/>
      <c r="D170" s="38"/>
      <c r="E170" s="38"/>
      <c r="F170" s="38"/>
      <c r="G170" s="40"/>
      <c r="H170" s="40"/>
      <c r="I170" s="40"/>
      <c r="J170" s="41" t="str">
        <f aca="false">IF(G170="","",G170+N(H170)+N(I170))</f>
        <v/>
      </c>
      <c r="K170" s="40"/>
      <c r="L170" s="40"/>
      <c r="M170" s="42"/>
      <c r="N170" s="42"/>
      <c r="O170" s="39"/>
      <c r="P170" s="38"/>
      <c r="Q170" s="38"/>
      <c r="R170" s="43" t="str">
        <f aca="false">IF(OR(P170="",Q170=""),"",P170/(P170+Q170))</f>
        <v/>
      </c>
      <c r="S170" s="41" t="str">
        <f aca="false">IF(OR(K170="",G170=""),"",K170+N(L170))</f>
        <v/>
      </c>
      <c r="T170" s="41" t="str">
        <f aca="false">IF(OR(K170="",G170=""),"",S170*Settings!$B$10)</f>
        <v/>
      </c>
      <c r="U170" s="41" t="str">
        <f aca="false">IF(OR(K170="",G170=""),"",(S170+T170)*IF(N170="",Settings!$B$5,N170))</f>
        <v/>
      </c>
      <c r="V170" s="41" t="str">
        <f aca="false">IF(OR(K170="",G170=""),"",IF(S170+T170&lt;=Settings!$B$8,Settings!$B$6,Settings!$B$7))</f>
        <v/>
      </c>
      <c r="W170" s="41" t="str">
        <f aca="false">IF(OR(K170="",G170=""),"",S170*IF(UPPER(O170)="Y",Settings!$B$9,0))</f>
        <v/>
      </c>
      <c r="X170" s="41" t="str">
        <f aca="false">IF(OR(K170="",G170=""),"",(S170+T170)*IF(M170="",Settings!$B$11,M170))</f>
        <v/>
      </c>
      <c r="Y170" s="41" t="str">
        <f aca="false">IF(OR(K170="",G170=""),"",U170+V170+W170+X170)</f>
        <v/>
      </c>
      <c r="Z170" s="41" t="str">
        <f aca="false">IF(OR(K170="",G170=""),"",S170-Y170)</f>
        <v/>
      </c>
      <c r="AA170" s="41" t="str">
        <f aca="false">IF(OR(K170="",G170=""),"",Z170*Settings!$B$12)</f>
        <v/>
      </c>
      <c r="AB170" s="41" t="str">
        <f aca="false">IF(OR(K170="",G170=""),"",S170*Settings!$B$13)</f>
        <v/>
      </c>
      <c r="AC170" s="44" t="str">
        <f aca="false">IF(OR(K170="",G170=""),"",Z170-AA170-AB170-J170)</f>
        <v/>
      </c>
      <c r="AD170" s="45" t="str">
        <f aca="false">IF(OR(K170="",G170=""),"",AC170*Settings!$B$14)</f>
        <v/>
      </c>
      <c r="AE170" s="43" t="str">
        <f aca="false">IF(OR(K170="",G170=""),"",IF(S170=0,"",AC170/S170))</f>
        <v/>
      </c>
      <c r="AF170" s="43" t="str">
        <f aca="false">IF(OR(K170="",G170=""),"",IF(J170=0,"",AC170/J170))</f>
        <v/>
      </c>
      <c r="AG170" s="41" t="str">
        <f aca="false">IF(OR(K170="",G170=""),"",(J170+V170)/(1-(1+Settings!$B$10)*(IF(N170="",Settings!$B$5,N170)+IF(M170="",Settings!$B$11,M170))-IF(UPPER(O170)="Y",Settings!$B$9,0)-Settings!$B$13-Settings!$B$12)-N(L170))</f>
        <v/>
      </c>
      <c r="AH170" s="41" t="str">
        <f aca="false">IF(OR(K170="",G170=""),"",(J170+V170+Settings!$B$15)/(1-(1+Settings!$B$10)*(IF(N170="",Settings!$B$5,N170)+IF(M170="",Settings!$B$11,M170))-IF(UPPER(O170)="Y",Settings!$B$9,0)-Settings!$B$13-Settings!$B$12)-N(L170))</f>
        <v/>
      </c>
      <c r="AI170" s="46" t="str">
        <f aca="false">IF(C170="","",IF(OR(ISNUMBER(SEARCH("amazon",C170)),ISNUMBER(SEARCH("walmart",C170)),ISNUMBER(SEARCH("aliexpress",C170)),ISNUMBER(SEARCH("temu",C170))),"⚠ Retail source — not allowed","✓ Wholesale / own stock"))</f>
        <v/>
      </c>
      <c r="AJ170" s="47" t="str">
        <f aca="false">IF(OR(K170="",G170=""),"",IF(LEFT(AI170,1)="⚠","❌ SKIP",IF(AND(AC170&gt;=Settings!$B$15,AF170&gt;=Settings!$B$16,OR(R170="",N(R170)&gt;=Settings!$B$17)),"✅ GO",IF(AC170&gt;0,"⚠ CHECK","❌ SKIP"))))</f>
        <v/>
      </c>
      <c r="AK170" s="38"/>
    </row>
    <row r="171" customFormat="false" ht="15" hidden="false" customHeight="false" outlineLevel="0" collapsed="false">
      <c r="A171" s="37" t="str">
        <f aca="false">IF(B171="","",ROW()-4)</f>
        <v/>
      </c>
      <c r="B171" s="38"/>
      <c r="C171" s="39"/>
      <c r="D171" s="38"/>
      <c r="E171" s="38"/>
      <c r="F171" s="38"/>
      <c r="G171" s="40"/>
      <c r="H171" s="40"/>
      <c r="I171" s="40"/>
      <c r="J171" s="41" t="str">
        <f aca="false">IF(G171="","",G171+N(H171)+N(I171))</f>
        <v/>
      </c>
      <c r="K171" s="40"/>
      <c r="L171" s="40"/>
      <c r="M171" s="42"/>
      <c r="N171" s="42"/>
      <c r="O171" s="39"/>
      <c r="P171" s="38"/>
      <c r="Q171" s="38"/>
      <c r="R171" s="43" t="str">
        <f aca="false">IF(OR(P171="",Q171=""),"",P171/(P171+Q171))</f>
        <v/>
      </c>
      <c r="S171" s="41" t="str">
        <f aca="false">IF(OR(K171="",G171=""),"",K171+N(L171))</f>
        <v/>
      </c>
      <c r="T171" s="41" t="str">
        <f aca="false">IF(OR(K171="",G171=""),"",S171*Settings!$B$10)</f>
        <v/>
      </c>
      <c r="U171" s="41" t="str">
        <f aca="false">IF(OR(K171="",G171=""),"",(S171+T171)*IF(N171="",Settings!$B$5,N171))</f>
        <v/>
      </c>
      <c r="V171" s="41" t="str">
        <f aca="false">IF(OR(K171="",G171=""),"",IF(S171+T171&lt;=Settings!$B$8,Settings!$B$6,Settings!$B$7))</f>
        <v/>
      </c>
      <c r="W171" s="41" t="str">
        <f aca="false">IF(OR(K171="",G171=""),"",S171*IF(UPPER(O171)="Y",Settings!$B$9,0))</f>
        <v/>
      </c>
      <c r="X171" s="41" t="str">
        <f aca="false">IF(OR(K171="",G171=""),"",(S171+T171)*IF(M171="",Settings!$B$11,M171))</f>
        <v/>
      </c>
      <c r="Y171" s="41" t="str">
        <f aca="false">IF(OR(K171="",G171=""),"",U171+V171+W171+X171)</f>
        <v/>
      </c>
      <c r="Z171" s="41" t="str">
        <f aca="false">IF(OR(K171="",G171=""),"",S171-Y171)</f>
        <v/>
      </c>
      <c r="AA171" s="41" t="str">
        <f aca="false">IF(OR(K171="",G171=""),"",Z171*Settings!$B$12)</f>
        <v/>
      </c>
      <c r="AB171" s="41" t="str">
        <f aca="false">IF(OR(K171="",G171=""),"",S171*Settings!$B$13)</f>
        <v/>
      </c>
      <c r="AC171" s="44" t="str">
        <f aca="false">IF(OR(K171="",G171=""),"",Z171-AA171-AB171-J171)</f>
        <v/>
      </c>
      <c r="AD171" s="45" t="str">
        <f aca="false">IF(OR(K171="",G171=""),"",AC171*Settings!$B$14)</f>
        <v/>
      </c>
      <c r="AE171" s="43" t="str">
        <f aca="false">IF(OR(K171="",G171=""),"",IF(S171=0,"",AC171/S171))</f>
        <v/>
      </c>
      <c r="AF171" s="43" t="str">
        <f aca="false">IF(OR(K171="",G171=""),"",IF(J171=0,"",AC171/J171))</f>
        <v/>
      </c>
      <c r="AG171" s="41" t="str">
        <f aca="false">IF(OR(K171="",G171=""),"",(J171+V171)/(1-(1+Settings!$B$10)*(IF(N171="",Settings!$B$5,N171)+IF(M171="",Settings!$B$11,M171))-IF(UPPER(O171)="Y",Settings!$B$9,0)-Settings!$B$13-Settings!$B$12)-N(L171))</f>
        <v/>
      </c>
      <c r="AH171" s="41" t="str">
        <f aca="false">IF(OR(K171="",G171=""),"",(J171+V171+Settings!$B$15)/(1-(1+Settings!$B$10)*(IF(N171="",Settings!$B$5,N171)+IF(M171="",Settings!$B$11,M171))-IF(UPPER(O171)="Y",Settings!$B$9,0)-Settings!$B$13-Settings!$B$12)-N(L171))</f>
        <v/>
      </c>
      <c r="AI171" s="46" t="str">
        <f aca="false">IF(C171="","",IF(OR(ISNUMBER(SEARCH("amazon",C171)),ISNUMBER(SEARCH("walmart",C171)),ISNUMBER(SEARCH("aliexpress",C171)),ISNUMBER(SEARCH("temu",C171))),"⚠ Retail source — not allowed","✓ Wholesale / own stock"))</f>
        <v/>
      </c>
      <c r="AJ171" s="47" t="str">
        <f aca="false">IF(OR(K171="",G171=""),"",IF(LEFT(AI171,1)="⚠","❌ SKIP",IF(AND(AC171&gt;=Settings!$B$15,AF171&gt;=Settings!$B$16,OR(R171="",N(R171)&gt;=Settings!$B$17)),"✅ GO",IF(AC171&gt;0,"⚠ CHECK","❌ SKIP"))))</f>
        <v/>
      </c>
      <c r="AK171" s="38"/>
    </row>
    <row r="172" customFormat="false" ht="15" hidden="false" customHeight="false" outlineLevel="0" collapsed="false">
      <c r="A172" s="37" t="str">
        <f aca="false">IF(B172="","",ROW()-4)</f>
        <v/>
      </c>
      <c r="B172" s="38"/>
      <c r="C172" s="39"/>
      <c r="D172" s="38"/>
      <c r="E172" s="38"/>
      <c r="F172" s="38"/>
      <c r="G172" s="40"/>
      <c r="H172" s="40"/>
      <c r="I172" s="40"/>
      <c r="J172" s="41" t="str">
        <f aca="false">IF(G172="","",G172+N(H172)+N(I172))</f>
        <v/>
      </c>
      <c r="K172" s="40"/>
      <c r="L172" s="40"/>
      <c r="M172" s="42"/>
      <c r="N172" s="42"/>
      <c r="O172" s="39"/>
      <c r="P172" s="38"/>
      <c r="Q172" s="38"/>
      <c r="R172" s="43" t="str">
        <f aca="false">IF(OR(P172="",Q172=""),"",P172/(P172+Q172))</f>
        <v/>
      </c>
      <c r="S172" s="41" t="str">
        <f aca="false">IF(OR(K172="",G172=""),"",K172+N(L172))</f>
        <v/>
      </c>
      <c r="T172" s="41" t="str">
        <f aca="false">IF(OR(K172="",G172=""),"",S172*Settings!$B$10)</f>
        <v/>
      </c>
      <c r="U172" s="41" t="str">
        <f aca="false">IF(OR(K172="",G172=""),"",(S172+T172)*IF(N172="",Settings!$B$5,N172))</f>
        <v/>
      </c>
      <c r="V172" s="41" t="str">
        <f aca="false">IF(OR(K172="",G172=""),"",IF(S172+T172&lt;=Settings!$B$8,Settings!$B$6,Settings!$B$7))</f>
        <v/>
      </c>
      <c r="W172" s="41" t="str">
        <f aca="false">IF(OR(K172="",G172=""),"",S172*IF(UPPER(O172)="Y",Settings!$B$9,0))</f>
        <v/>
      </c>
      <c r="X172" s="41" t="str">
        <f aca="false">IF(OR(K172="",G172=""),"",(S172+T172)*IF(M172="",Settings!$B$11,M172))</f>
        <v/>
      </c>
      <c r="Y172" s="41" t="str">
        <f aca="false">IF(OR(K172="",G172=""),"",U172+V172+W172+X172)</f>
        <v/>
      </c>
      <c r="Z172" s="41" t="str">
        <f aca="false">IF(OR(K172="",G172=""),"",S172-Y172)</f>
        <v/>
      </c>
      <c r="AA172" s="41" t="str">
        <f aca="false">IF(OR(K172="",G172=""),"",Z172*Settings!$B$12)</f>
        <v/>
      </c>
      <c r="AB172" s="41" t="str">
        <f aca="false">IF(OR(K172="",G172=""),"",S172*Settings!$B$13)</f>
        <v/>
      </c>
      <c r="AC172" s="44" t="str">
        <f aca="false">IF(OR(K172="",G172=""),"",Z172-AA172-AB172-J172)</f>
        <v/>
      </c>
      <c r="AD172" s="45" t="str">
        <f aca="false">IF(OR(K172="",G172=""),"",AC172*Settings!$B$14)</f>
        <v/>
      </c>
      <c r="AE172" s="43" t="str">
        <f aca="false">IF(OR(K172="",G172=""),"",IF(S172=0,"",AC172/S172))</f>
        <v/>
      </c>
      <c r="AF172" s="43" t="str">
        <f aca="false">IF(OR(K172="",G172=""),"",IF(J172=0,"",AC172/J172))</f>
        <v/>
      </c>
      <c r="AG172" s="41" t="str">
        <f aca="false">IF(OR(K172="",G172=""),"",(J172+V172)/(1-(1+Settings!$B$10)*(IF(N172="",Settings!$B$5,N172)+IF(M172="",Settings!$B$11,M172))-IF(UPPER(O172)="Y",Settings!$B$9,0)-Settings!$B$13-Settings!$B$12)-N(L172))</f>
        <v/>
      </c>
      <c r="AH172" s="41" t="str">
        <f aca="false">IF(OR(K172="",G172=""),"",(J172+V172+Settings!$B$15)/(1-(1+Settings!$B$10)*(IF(N172="",Settings!$B$5,N172)+IF(M172="",Settings!$B$11,M172))-IF(UPPER(O172)="Y",Settings!$B$9,0)-Settings!$B$13-Settings!$B$12)-N(L172))</f>
        <v/>
      </c>
      <c r="AI172" s="46" t="str">
        <f aca="false">IF(C172="","",IF(OR(ISNUMBER(SEARCH("amazon",C172)),ISNUMBER(SEARCH("walmart",C172)),ISNUMBER(SEARCH("aliexpress",C172)),ISNUMBER(SEARCH("temu",C172))),"⚠ Retail source — not allowed","✓ Wholesale / own stock"))</f>
        <v/>
      </c>
      <c r="AJ172" s="47" t="str">
        <f aca="false">IF(OR(K172="",G172=""),"",IF(LEFT(AI172,1)="⚠","❌ SKIP",IF(AND(AC172&gt;=Settings!$B$15,AF172&gt;=Settings!$B$16,OR(R172="",N(R172)&gt;=Settings!$B$17)),"✅ GO",IF(AC172&gt;0,"⚠ CHECK","❌ SKIP"))))</f>
        <v/>
      </c>
      <c r="AK172" s="38"/>
    </row>
    <row r="173" customFormat="false" ht="15" hidden="false" customHeight="false" outlineLevel="0" collapsed="false">
      <c r="A173" s="37" t="str">
        <f aca="false">IF(B173="","",ROW()-4)</f>
        <v/>
      </c>
      <c r="B173" s="38"/>
      <c r="C173" s="39"/>
      <c r="D173" s="38"/>
      <c r="E173" s="38"/>
      <c r="F173" s="38"/>
      <c r="G173" s="40"/>
      <c r="H173" s="40"/>
      <c r="I173" s="40"/>
      <c r="J173" s="41" t="str">
        <f aca="false">IF(G173="","",G173+N(H173)+N(I173))</f>
        <v/>
      </c>
      <c r="K173" s="40"/>
      <c r="L173" s="40"/>
      <c r="M173" s="42"/>
      <c r="N173" s="42"/>
      <c r="O173" s="39"/>
      <c r="P173" s="38"/>
      <c r="Q173" s="38"/>
      <c r="R173" s="43" t="str">
        <f aca="false">IF(OR(P173="",Q173=""),"",P173/(P173+Q173))</f>
        <v/>
      </c>
      <c r="S173" s="41" t="str">
        <f aca="false">IF(OR(K173="",G173=""),"",K173+N(L173))</f>
        <v/>
      </c>
      <c r="T173" s="41" t="str">
        <f aca="false">IF(OR(K173="",G173=""),"",S173*Settings!$B$10)</f>
        <v/>
      </c>
      <c r="U173" s="41" t="str">
        <f aca="false">IF(OR(K173="",G173=""),"",(S173+T173)*IF(N173="",Settings!$B$5,N173))</f>
        <v/>
      </c>
      <c r="V173" s="41" t="str">
        <f aca="false">IF(OR(K173="",G173=""),"",IF(S173+T173&lt;=Settings!$B$8,Settings!$B$6,Settings!$B$7))</f>
        <v/>
      </c>
      <c r="W173" s="41" t="str">
        <f aca="false">IF(OR(K173="",G173=""),"",S173*IF(UPPER(O173)="Y",Settings!$B$9,0))</f>
        <v/>
      </c>
      <c r="X173" s="41" t="str">
        <f aca="false">IF(OR(K173="",G173=""),"",(S173+T173)*IF(M173="",Settings!$B$11,M173))</f>
        <v/>
      </c>
      <c r="Y173" s="41" t="str">
        <f aca="false">IF(OR(K173="",G173=""),"",U173+V173+W173+X173)</f>
        <v/>
      </c>
      <c r="Z173" s="41" t="str">
        <f aca="false">IF(OR(K173="",G173=""),"",S173-Y173)</f>
        <v/>
      </c>
      <c r="AA173" s="41" t="str">
        <f aca="false">IF(OR(K173="",G173=""),"",Z173*Settings!$B$12)</f>
        <v/>
      </c>
      <c r="AB173" s="41" t="str">
        <f aca="false">IF(OR(K173="",G173=""),"",S173*Settings!$B$13)</f>
        <v/>
      </c>
      <c r="AC173" s="44" t="str">
        <f aca="false">IF(OR(K173="",G173=""),"",Z173-AA173-AB173-J173)</f>
        <v/>
      </c>
      <c r="AD173" s="45" t="str">
        <f aca="false">IF(OR(K173="",G173=""),"",AC173*Settings!$B$14)</f>
        <v/>
      </c>
      <c r="AE173" s="43" t="str">
        <f aca="false">IF(OR(K173="",G173=""),"",IF(S173=0,"",AC173/S173))</f>
        <v/>
      </c>
      <c r="AF173" s="43" t="str">
        <f aca="false">IF(OR(K173="",G173=""),"",IF(J173=0,"",AC173/J173))</f>
        <v/>
      </c>
      <c r="AG173" s="41" t="str">
        <f aca="false">IF(OR(K173="",G173=""),"",(J173+V173)/(1-(1+Settings!$B$10)*(IF(N173="",Settings!$B$5,N173)+IF(M173="",Settings!$B$11,M173))-IF(UPPER(O173)="Y",Settings!$B$9,0)-Settings!$B$13-Settings!$B$12)-N(L173))</f>
        <v/>
      </c>
      <c r="AH173" s="41" t="str">
        <f aca="false">IF(OR(K173="",G173=""),"",(J173+V173+Settings!$B$15)/(1-(1+Settings!$B$10)*(IF(N173="",Settings!$B$5,N173)+IF(M173="",Settings!$B$11,M173))-IF(UPPER(O173)="Y",Settings!$B$9,0)-Settings!$B$13-Settings!$B$12)-N(L173))</f>
        <v/>
      </c>
      <c r="AI173" s="46" t="str">
        <f aca="false">IF(C173="","",IF(OR(ISNUMBER(SEARCH("amazon",C173)),ISNUMBER(SEARCH("walmart",C173)),ISNUMBER(SEARCH("aliexpress",C173)),ISNUMBER(SEARCH("temu",C173))),"⚠ Retail source — not allowed","✓ Wholesale / own stock"))</f>
        <v/>
      </c>
      <c r="AJ173" s="47" t="str">
        <f aca="false">IF(OR(K173="",G173=""),"",IF(LEFT(AI173,1)="⚠","❌ SKIP",IF(AND(AC173&gt;=Settings!$B$15,AF173&gt;=Settings!$B$16,OR(R173="",N(R173)&gt;=Settings!$B$17)),"✅ GO",IF(AC173&gt;0,"⚠ CHECK","❌ SKIP"))))</f>
        <v/>
      </c>
      <c r="AK173" s="38"/>
    </row>
    <row r="174" customFormat="false" ht="15" hidden="false" customHeight="false" outlineLevel="0" collapsed="false">
      <c r="A174" s="37" t="str">
        <f aca="false">IF(B174="","",ROW()-4)</f>
        <v/>
      </c>
      <c r="B174" s="38"/>
      <c r="C174" s="39"/>
      <c r="D174" s="38"/>
      <c r="E174" s="38"/>
      <c r="F174" s="38"/>
      <c r="G174" s="40"/>
      <c r="H174" s="40"/>
      <c r="I174" s="40"/>
      <c r="J174" s="41" t="str">
        <f aca="false">IF(G174="","",G174+N(H174)+N(I174))</f>
        <v/>
      </c>
      <c r="K174" s="40"/>
      <c r="L174" s="40"/>
      <c r="M174" s="42"/>
      <c r="N174" s="42"/>
      <c r="O174" s="39"/>
      <c r="P174" s="38"/>
      <c r="Q174" s="38"/>
      <c r="R174" s="43" t="str">
        <f aca="false">IF(OR(P174="",Q174=""),"",P174/(P174+Q174))</f>
        <v/>
      </c>
      <c r="S174" s="41" t="str">
        <f aca="false">IF(OR(K174="",G174=""),"",K174+N(L174))</f>
        <v/>
      </c>
      <c r="T174" s="41" t="str">
        <f aca="false">IF(OR(K174="",G174=""),"",S174*Settings!$B$10)</f>
        <v/>
      </c>
      <c r="U174" s="41" t="str">
        <f aca="false">IF(OR(K174="",G174=""),"",(S174+T174)*IF(N174="",Settings!$B$5,N174))</f>
        <v/>
      </c>
      <c r="V174" s="41" t="str">
        <f aca="false">IF(OR(K174="",G174=""),"",IF(S174+T174&lt;=Settings!$B$8,Settings!$B$6,Settings!$B$7))</f>
        <v/>
      </c>
      <c r="W174" s="41" t="str">
        <f aca="false">IF(OR(K174="",G174=""),"",S174*IF(UPPER(O174)="Y",Settings!$B$9,0))</f>
        <v/>
      </c>
      <c r="X174" s="41" t="str">
        <f aca="false">IF(OR(K174="",G174=""),"",(S174+T174)*IF(M174="",Settings!$B$11,M174))</f>
        <v/>
      </c>
      <c r="Y174" s="41" t="str">
        <f aca="false">IF(OR(K174="",G174=""),"",U174+V174+W174+X174)</f>
        <v/>
      </c>
      <c r="Z174" s="41" t="str">
        <f aca="false">IF(OR(K174="",G174=""),"",S174-Y174)</f>
        <v/>
      </c>
      <c r="AA174" s="41" t="str">
        <f aca="false">IF(OR(K174="",G174=""),"",Z174*Settings!$B$12)</f>
        <v/>
      </c>
      <c r="AB174" s="41" t="str">
        <f aca="false">IF(OR(K174="",G174=""),"",S174*Settings!$B$13)</f>
        <v/>
      </c>
      <c r="AC174" s="44" t="str">
        <f aca="false">IF(OR(K174="",G174=""),"",Z174-AA174-AB174-J174)</f>
        <v/>
      </c>
      <c r="AD174" s="45" t="str">
        <f aca="false">IF(OR(K174="",G174=""),"",AC174*Settings!$B$14)</f>
        <v/>
      </c>
      <c r="AE174" s="43" t="str">
        <f aca="false">IF(OR(K174="",G174=""),"",IF(S174=0,"",AC174/S174))</f>
        <v/>
      </c>
      <c r="AF174" s="43" t="str">
        <f aca="false">IF(OR(K174="",G174=""),"",IF(J174=0,"",AC174/J174))</f>
        <v/>
      </c>
      <c r="AG174" s="41" t="str">
        <f aca="false">IF(OR(K174="",G174=""),"",(J174+V174)/(1-(1+Settings!$B$10)*(IF(N174="",Settings!$B$5,N174)+IF(M174="",Settings!$B$11,M174))-IF(UPPER(O174)="Y",Settings!$B$9,0)-Settings!$B$13-Settings!$B$12)-N(L174))</f>
        <v/>
      </c>
      <c r="AH174" s="41" t="str">
        <f aca="false">IF(OR(K174="",G174=""),"",(J174+V174+Settings!$B$15)/(1-(1+Settings!$B$10)*(IF(N174="",Settings!$B$5,N174)+IF(M174="",Settings!$B$11,M174))-IF(UPPER(O174)="Y",Settings!$B$9,0)-Settings!$B$13-Settings!$B$12)-N(L174))</f>
        <v/>
      </c>
      <c r="AI174" s="46" t="str">
        <f aca="false">IF(C174="","",IF(OR(ISNUMBER(SEARCH("amazon",C174)),ISNUMBER(SEARCH("walmart",C174)),ISNUMBER(SEARCH("aliexpress",C174)),ISNUMBER(SEARCH("temu",C174))),"⚠ Retail source — not allowed","✓ Wholesale / own stock"))</f>
        <v/>
      </c>
      <c r="AJ174" s="47" t="str">
        <f aca="false">IF(OR(K174="",G174=""),"",IF(LEFT(AI174,1)="⚠","❌ SKIP",IF(AND(AC174&gt;=Settings!$B$15,AF174&gt;=Settings!$B$16,OR(R174="",N(R174)&gt;=Settings!$B$17)),"✅ GO",IF(AC174&gt;0,"⚠ CHECK","❌ SKIP"))))</f>
        <v/>
      </c>
      <c r="AK174" s="38"/>
    </row>
    <row r="175" customFormat="false" ht="15" hidden="false" customHeight="false" outlineLevel="0" collapsed="false">
      <c r="A175" s="37" t="str">
        <f aca="false">IF(B175="","",ROW()-4)</f>
        <v/>
      </c>
      <c r="B175" s="38"/>
      <c r="C175" s="39"/>
      <c r="D175" s="38"/>
      <c r="E175" s="38"/>
      <c r="F175" s="38"/>
      <c r="G175" s="40"/>
      <c r="H175" s="40"/>
      <c r="I175" s="40"/>
      <c r="J175" s="41" t="str">
        <f aca="false">IF(G175="","",G175+N(H175)+N(I175))</f>
        <v/>
      </c>
      <c r="K175" s="40"/>
      <c r="L175" s="40"/>
      <c r="M175" s="42"/>
      <c r="N175" s="42"/>
      <c r="O175" s="39"/>
      <c r="P175" s="38"/>
      <c r="Q175" s="38"/>
      <c r="R175" s="43" t="str">
        <f aca="false">IF(OR(P175="",Q175=""),"",P175/(P175+Q175))</f>
        <v/>
      </c>
      <c r="S175" s="41" t="str">
        <f aca="false">IF(OR(K175="",G175=""),"",K175+N(L175))</f>
        <v/>
      </c>
      <c r="T175" s="41" t="str">
        <f aca="false">IF(OR(K175="",G175=""),"",S175*Settings!$B$10)</f>
        <v/>
      </c>
      <c r="U175" s="41" t="str">
        <f aca="false">IF(OR(K175="",G175=""),"",(S175+T175)*IF(N175="",Settings!$B$5,N175))</f>
        <v/>
      </c>
      <c r="V175" s="41" t="str">
        <f aca="false">IF(OR(K175="",G175=""),"",IF(S175+T175&lt;=Settings!$B$8,Settings!$B$6,Settings!$B$7))</f>
        <v/>
      </c>
      <c r="W175" s="41" t="str">
        <f aca="false">IF(OR(K175="",G175=""),"",S175*IF(UPPER(O175)="Y",Settings!$B$9,0))</f>
        <v/>
      </c>
      <c r="X175" s="41" t="str">
        <f aca="false">IF(OR(K175="",G175=""),"",(S175+T175)*IF(M175="",Settings!$B$11,M175))</f>
        <v/>
      </c>
      <c r="Y175" s="41" t="str">
        <f aca="false">IF(OR(K175="",G175=""),"",U175+V175+W175+X175)</f>
        <v/>
      </c>
      <c r="Z175" s="41" t="str">
        <f aca="false">IF(OR(K175="",G175=""),"",S175-Y175)</f>
        <v/>
      </c>
      <c r="AA175" s="41" t="str">
        <f aca="false">IF(OR(K175="",G175=""),"",Z175*Settings!$B$12)</f>
        <v/>
      </c>
      <c r="AB175" s="41" t="str">
        <f aca="false">IF(OR(K175="",G175=""),"",S175*Settings!$B$13)</f>
        <v/>
      </c>
      <c r="AC175" s="44" t="str">
        <f aca="false">IF(OR(K175="",G175=""),"",Z175-AA175-AB175-J175)</f>
        <v/>
      </c>
      <c r="AD175" s="45" t="str">
        <f aca="false">IF(OR(K175="",G175=""),"",AC175*Settings!$B$14)</f>
        <v/>
      </c>
      <c r="AE175" s="43" t="str">
        <f aca="false">IF(OR(K175="",G175=""),"",IF(S175=0,"",AC175/S175))</f>
        <v/>
      </c>
      <c r="AF175" s="43" t="str">
        <f aca="false">IF(OR(K175="",G175=""),"",IF(J175=0,"",AC175/J175))</f>
        <v/>
      </c>
      <c r="AG175" s="41" t="str">
        <f aca="false">IF(OR(K175="",G175=""),"",(J175+V175)/(1-(1+Settings!$B$10)*(IF(N175="",Settings!$B$5,N175)+IF(M175="",Settings!$B$11,M175))-IF(UPPER(O175)="Y",Settings!$B$9,0)-Settings!$B$13-Settings!$B$12)-N(L175))</f>
        <v/>
      </c>
      <c r="AH175" s="41" t="str">
        <f aca="false">IF(OR(K175="",G175=""),"",(J175+V175+Settings!$B$15)/(1-(1+Settings!$B$10)*(IF(N175="",Settings!$B$5,N175)+IF(M175="",Settings!$B$11,M175))-IF(UPPER(O175)="Y",Settings!$B$9,0)-Settings!$B$13-Settings!$B$12)-N(L175))</f>
        <v/>
      </c>
      <c r="AI175" s="46" t="str">
        <f aca="false">IF(C175="","",IF(OR(ISNUMBER(SEARCH("amazon",C175)),ISNUMBER(SEARCH("walmart",C175)),ISNUMBER(SEARCH("aliexpress",C175)),ISNUMBER(SEARCH("temu",C175))),"⚠ Retail source — not allowed","✓ Wholesale / own stock"))</f>
        <v/>
      </c>
      <c r="AJ175" s="47" t="str">
        <f aca="false">IF(OR(K175="",G175=""),"",IF(LEFT(AI175,1)="⚠","❌ SKIP",IF(AND(AC175&gt;=Settings!$B$15,AF175&gt;=Settings!$B$16,OR(R175="",N(R175)&gt;=Settings!$B$17)),"✅ GO",IF(AC175&gt;0,"⚠ CHECK","❌ SKIP"))))</f>
        <v/>
      </c>
      <c r="AK175" s="38"/>
    </row>
    <row r="176" customFormat="false" ht="15" hidden="false" customHeight="false" outlineLevel="0" collapsed="false">
      <c r="A176" s="37" t="str">
        <f aca="false">IF(B176="","",ROW()-4)</f>
        <v/>
      </c>
      <c r="B176" s="38"/>
      <c r="C176" s="39"/>
      <c r="D176" s="38"/>
      <c r="E176" s="38"/>
      <c r="F176" s="38"/>
      <c r="G176" s="40"/>
      <c r="H176" s="40"/>
      <c r="I176" s="40"/>
      <c r="J176" s="41" t="str">
        <f aca="false">IF(G176="","",G176+N(H176)+N(I176))</f>
        <v/>
      </c>
      <c r="K176" s="40"/>
      <c r="L176" s="40"/>
      <c r="M176" s="42"/>
      <c r="N176" s="42"/>
      <c r="O176" s="39"/>
      <c r="P176" s="38"/>
      <c r="Q176" s="38"/>
      <c r="R176" s="43" t="str">
        <f aca="false">IF(OR(P176="",Q176=""),"",P176/(P176+Q176))</f>
        <v/>
      </c>
      <c r="S176" s="41" t="str">
        <f aca="false">IF(OR(K176="",G176=""),"",K176+N(L176))</f>
        <v/>
      </c>
      <c r="T176" s="41" t="str">
        <f aca="false">IF(OR(K176="",G176=""),"",S176*Settings!$B$10)</f>
        <v/>
      </c>
      <c r="U176" s="41" t="str">
        <f aca="false">IF(OR(K176="",G176=""),"",(S176+T176)*IF(N176="",Settings!$B$5,N176))</f>
        <v/>
      </c>
      <c r="V176" s="41" t="str">
        <f aca="false">IF(OR(K176="",G176=""),"",IF(S176+T176&lt;=Settings!$B$8,Settings!$B$6,Settings!$B$7))</f>
        <v/>
      </c>
      <c r="W176" s="41" t="str">
        <f aca="false">IF(OR(K176="",G176=""),"",S176*IF(UPPER(O176)="Y",Settings!$B$9,0))</f>
        <v/>
      </c>
      <c r="X176" s="41" t="str">
        <f aca="false">IF(OR(K176="",G176=""),"",(S176+T176)*IF(M176="",Settings!$B$11,M176))</f>
        <v/>
      </c>
      <c r="Y176" s="41" t="str">
        <f aca="false">IF(OR(K176="",G176=""),"",U176+V176+W176+X176)</f>
        <v/>
      </c>
      <c r="Z176" s="41" t="str">
        <f aca="false">IF(OR(K176="",G176=""),"",S176-Y176)</f>
        <v/>
      </c>
      <c r="AA176" s="41" t="str">
        <f aca="false">IF(OR(K176="",G176=""),"",Z176*Settings!$B$12)</f>
        <v/>
      </c>
      <c r="AB176" s="41" t="str">
        <f aca="false">IF(OR(K176="",G176=""),"",S176*Settings!$B$13)</f>
        <v/>
      </c>
      <c r="AC176" s="44" t="str">
        <f aca="false">IF(OR(K176="",G176=""),"",Z176-AA176-AB176-J176)</f>
        <v/>
      </c>
      <c r="AD176" s="45" t="str">
        <f aca="false">IF(OR(K176="",G176=""),"",AC176*Settings!$B$14)</f>
        <v/>
      </c>
      <c r="AE176" s="43" t="str">
        <f aca="false">IF(OR(K176="",G176=""),"",IF(S176=0,"",AC176/S176))</f>
        <v/>
      </c>
      <c r="AF176" s="43" t="str">
        <f aca="false">IF(OR(K176="",G176=""),"",IF(J176=0,"",AC176/J176))</f>
        <v/>
      </c>
      <c r="AG176" s="41" t="str">
        <f aca="false">IF(OR(K176="",G176=""),"",(J176+V176)/(1-(1+Settings!$B$10)*(IF(N176="",Settings!$B$5,N176)+IF(M176="",Settings!$B$11,M176))-IF(UPPER(O176)="Y",Settings!$B$9,0)-Settings!$B$13-Settings!$B$12)-N(L176))</f>
        <v/>
      </c>
      <c r="AH176" s="41" t="str">
        <f aca="false">IF(OR(K176="",G176=""),"",(J176+V176+Settings!$B$15)/(1-(1+Settings!$B$10)*(IF(N176="",Settings!$B$5,N176)+IF(M176="",Settings!$B$11,M176))-IF(UPPER(O176)="Y",Settings!$B$9,0)-Settings!$B$13-Settings!$B$12)-N(L176))</f>
        <v/>
      </c>
      <c r="AI176" s="46" t="str">
        <f aca="false">IF(C176="","",IF(OR(ISNUMBER(SEARCH("amazon",C176)),ISNUMBER(SEARCH("walmart",C176)),ISNUMBER(SEARCH("aliexpress",C176)),ISNUMBER(SEARCH("temu",C176))),"⚠ Retail source — not allowed","✓ Wholesale / own stock"))</f>
        <v/>
      </c>
      <c r="AJ176" s="47" t="str">
        <f aca="false">IF(OR(K176="",G176=""),"",IF(LEFT(AI176,1)="⚠","❌ SKIP",IF(AND(AC176&gt;=Settings!$B$15,AF176&gt;=Settings!$B$16,OR(R176="",N(R176)&gt;=Settings!$B$17)),"✅ GO",IF(AC176&gt;0,"⚠ CHECK","❌ SKIP"))))</f>
        <v/>
      </c>
      <c r="AK176" s="38"/>
    </row>
    <row r="177" customFormat="false" ht="15" hidden="false" customHeight="false" outlineLevel="0" collapsed="false">
      <c r="A177" s="37" t="str">
        <f aca="false">IF(B177="","",ROW()-4)</f>
        <v/>
      </c>
      <c r="B177" s="38"/>
      <c r="C177" s="39"/>
      <c r="D177" s="38"/>
      <c r="E177" s="38"/>
      <c r="F177" s="38"/>
      <c r="G177" s="40"/>
      <c r="H177" s="40"/>
      <c r="I177" s="40"/>
      <c r="J177" s="41" t="str">
        <f aca="false">IF(G177="","",G177+N(H177)+N(I177))</f>
        <v/>
      </c>
      <c r="K177" s="40"/>
      <c r="L177" s="40"/>
      <c r="M177" s="42"/>
      <c r="N177" s="42"/>
      <c r="O177" s="39"/>
      <c r="P177" s="38"/>
      <c r="Q177" s="38"/>
      <c r="R177" s="43" t="str">
        <f aca="false">IF(OR(P177="",Q177=""),"",P177/(P177+Q177))</f>
        <v/>
      </c>
      <c r="S177" s="41" t="str">
        <f aca="false">IF(OR(K177="",G177=""),"",K177+N(L177))</f>
        <v/>
      </c>
      <c r="T177" s="41" t="str">
        <f aca="false">IF(OR(K177="",G177=""),"",S177*Settings!$B$10)</f>
        <v/>
      </c>
      <c r="U177" s="41" t="str">
        <f aca="false">IF(OR(K177="",G177=""),"",(S177+T177)*IF(N177="",Settings!$B$5,N177))</f>
        <v/>
      </c>
      <c r="V177" s="41" t="str">
        <f aca="false">IF(OR(K177="",G177=""),"",IF(S177+T177&lt;=Settings!$B$8,Settings!$B$6,Settings!$B$7))</f>
        <v/>
      </c>
      <c r="W177" s="41" t="str">
        <f aca="false">IF(OR(K177="",G177=""),"",S177*IF(UPPER(O177)="Y",Settings!$B$9,0))</f>
        <v/>
      </c>
      <c r="X177" s="41" t="str">
        <f aca="false">IF(OR(K177="",G177=""),"",(S177+T177)*IF(M177="",Settings!$B$11,M177))</f>
        <v/>
      </c>
      <c r="Y177" s="41" t="str">
        <f aca="false">IF(OR(K177="",G177=""),"",U177+V177+W177+X177)</f>
        <v/>
      </c>
      <c r="Z177" s="41" t="str">
        <f aca="false">IF(OR(K177="",G177=""),"",S177-Y177)</f>
        <v/>
      </c>
      <c r="AA177" s="41" t="str">
        <f aca="false">IF(OR(K177="",G177=""),"",Z177*Settings!$B$12)</f>
        <v/>
      </c>
      <c r="AB177" s="41" t="str">
        <f aca="false">IF(OR(K177="",G177=""),"",S177*Settings!$B$13)</f>
        <v/>
      </c>
      <c r="AC177" s="44" t="str">
        <f aca="false">IF(OR(K177="",G177=""),"",Z177-AA177-AB177-J177)</f>
        <v/>
      </c>
      <c r="AD177" s="45" t="str">
        <f aca="false">IF(OR(K177="",G177=""),"",AC177*Settings!$B$14)</f>
        <v/>
      </c>
      <c r="AE177" s="43" t="str">
        <f aca="false">IF(OR(K177="",G177=""),"",IF(S177=0,"",AC177/S177))</f>
        <v/>
      </c>
      <c r="AF177" s="43" t="str">
        <f aca="false">IF(OR(K177="",G177=""),"",IF(J177=0,"",AC177/J177))</f>
        <v/>
      </c>
      <c r="AG177" s="41" t="str">
        <f aca="false">IF(OR(K177="",G177=""),"",(J177+V177)/(1-(1+Settings!$B$10)*(IF(N177="",Settings!$B$5,N177)+IF(M177="",Settings!$B$11,M177))-IF(UPPER(O177)="Y",Settings!$B$9,0)-Settings!$B$13-Settings!$B$12)-N(L177))</f>
        <v/>
      </c>
      <c r="AH177" s="41" t="str">
        <f aca="false">IF(OR(K177="",G177=""),"",(J177+V177+Settings!$B$15)/(1-(1+Settings!$B$10)*(IF(N177="",Settings!$B$5,N177)+IF(M177="",Settings!$B$11,M177))-IF(UPPER(O177)="Y",Settings!$B$9,0)-Settings!$B$13-Settings!$B$12)-N(L177))</f>
        <v/>
      </c>
      <c r="AI177" s="46" t="str">
        <f aca="false">IF(C177="","",IF(OR(ISNUMBER(SEARCH("amazon",C177)),ISNUMBER(SEARCH("walmart",C177)),ISNUMBER(SEARCH("aliexpress",C177)),ISNUMBER(SEARCH("temu",C177))),"⚠ Retail source — not allowed","✓ Wholesale / own stock"))</f>
        <v/>
      </c>
      <c r="AJ177" s="47" t="str">
        <f aca="false">IF(OR(K177="",G177=""),"",IF(LEFT(AI177,1)="⚠","❌ SKIP",IF(AND(AC177&gt;=Settings!$B$15,AF177&gt;=Settings!$B$16,OR(R177="",N(R177)&gt;=Settings!$B$17)),"✅ GO",IF(AC177&gt;0,"⚠ CHECK","❌ SKIP"))))</f>
        <v/>
      </c>
      <c r="AK177" s="38"/>
    </row>
    <row r="178" customFormat="false" ht="15" hidden="false" customHeight="false" outlineLevel="0" collapsed="false">
      <c r="A178" s="37" t="str">
        <f aca="false">IF(B178="","",ROW()-4)</f>
        <v/>
      </c>
      <c r="B178" s="38"/>
      <c r="C178" s="39"/>
      <c r="D178" s="38"/>
      <c r="E178" s="38"/>
      <c r="F178" s="38"/>
      <c r="G178" s="40"/>
      <c r="H178" s="40"/>
      <c r="I178" s="40"/>
      <c r="J178" s="41" t="str">
        <f aca="false">IF(G178="","",G178+N(H178)+N(I178))</f>
        <v/>
      </c>
      <c r="K178" s="40"/>
      <c r="L178" s="40"/>
      <c r="M178" s="42"/>
      <c r="N178" s="42"/>
      <c r="O178" s="39"/>
      <c r="P178" s="38"/>
      <c r="Q178" s="38"/>
      <c r="R178" s="43" t="str">
        <f aca="false">IF(OR(P178="",Q178=""),"",P178/(P178+Q178))</f>
        <v/>
      </c>
      <c r="S178" s="41" t="str">
        <f aca="false">IF(OR(K178="",G178=""),"",K178+N(L178))</f>
        <v/>
      </c>
      <c r="T178" s="41" t="str">
        <f aca="false">IF(OR(K178="",G178=""),"",S178*Settings!$B$10)</f>
        <v/>
      </c>
      <c r="U178" s="41" t="str">
        <f aca="false">IF(OR(K178="",G178=""),"",(S178+T178)*IF(N178="",Settings!$B$5,N178))</f>
        <v/>
      </c>
      <c r="V178" s="41" t="str">
        <f aca="false">IF(OR(K178="",G178=""),"",IF(S178+T178&lt;=Settings!$B$8,Settings!$B$6,Settings!$B$7))</f>
        <v/>
      </c>
      <c r="W178" s="41" t="str">
        <f aca="false">IF(OR(K178="",G178=""),"",S178*IF(UPPER(O178)="Y",Settings!$B$9,0))</f>
        <v/>
      </c>
      <c r="X178" s="41" t="str">
        <f aca="false">IF(OR(K178="",G178=""),"",(S178+T178)*IF(M178="",Settings!$B$11,M178))</f>
        <v/>
      </c>
      <c r="Y178" s="41" t="str">
        <f aca="false">IF(OR(K178="",G178=""),"",U178+V178+W178+X178)</f>
        <v/>
      </c>
      <c r="Z178" s="41" t="str">
        <f aca="false">IF(OR(K178="",G178=""),"",S178-Y178)</f>
        <v/>
      </c>
      <c r="AA178" s="41" t="str">
        <f aca="false">IF(OR(K178="",G178=""),"",Z178*Settings!$B$12)</f>
        <v/>
      </c>
      <c r="AB178" s="41" t="str">
        <f aca="false">IF(OR(K178="",G178=""),"",S178*Settings!$B$13)</f>
        <v/>
      </c>
      <c r="AC178" s="44" t="str">
        <f aca="false">IF(OR(K178="",G178=""),"",Z178-AA178-AB178-J178)</f>
        <v/>
      </c>
      <c r="AD178" s="45" t="str">
        <f aca="false">IF(OR(K178="",G178=""),"",AC178*Settings!$B$14)</f>
        <v/>
      </c>
      <c r="AE178" s="43" t="str">
        <f aca="false">IF(OR(K178="",G178=""),"",IF(S178=0,"",AC178/S178))</f>
        <v/>
      </c>
      <c r="AF178" s="43" t="str">
        <f aca="false">IF(OR(K178="",G178=""),"",IF(J178=0,"",AC178/J178))</f>
        <v/>
      </c>
      <c r="AG178" s="41" t="str">
        <f aca="false">IF(OR(K178="",G178=""),"",(J178+V178)/(1-(1+Settings!$B$10)*(IF(N178="",Settings!$B$5,N178)+IF(M178="",Settings!$B$11,M178))-IF(UPPER(O178)="Y",Settings!$B$9,0)-Settings!$B$13-Settings!$B$12)-N(L178))</f>
        <v/>
      </c>
      <c r="AH178" s="41" t="str">
        <f aca="false">IF(OR(K178="",G178=""),"",(J178+V178+Settings!$B$15)/(1-(1+Settings!$B$10)*(IF(N178="",Settings!$B$5,N178)+IF(M178="",Settings!$B$11,M178))-IF(UPPER(O178)="Y",Settings!$B$9,0)-Settings!$B$13-Settings!$B$12)-N(L178))</f>
        <v/>
      </c>
      <c r="AI178" s="46" t="str">
        <f aca="false">IF(C178="","",IF(OR(ISNUMBER(SEARCH("amazon",C178)),ISNUMBER(SEARCH("walmart",C178)),ISNUMBER(SEARCH("aliexpress",C178)),ISNUMBER(SEARCH("temu",C178))),"⚠ Retail source — not allowed","✓ Wholesale / own stock"))</f>
        <v/>
      </c>
      <c r="AJ178" s="47" t="str">
        <f aca="false">IF(OR(K178="",G178=""),"",IF(LEFT(AI178,1)="⚠","❌ SKIP",IF(AND(AC178&gt;=Settings!$B$15,AF178&gt;=Settings!$B$16,OR(R178="",N(R178)&gt;=Settings!$B$17)),"✅ GO",IF(AC178&gt;0,"⚠ CHECK","❌ SKIP"))))</f>
        <v/>
      </c>
      <c r="AK178" s="38"/>
    </row>
    <row r="179" customFormat="false" ht="15" hidden="false" customHeight="false" outlineLevel="0" collapsed="false">
      <c r="A179" s="37" t="str">
        <f aca="false">IF(B179="","",ROW()-4)</f>
        <v/>
      </c>
      <c r="B179" s="38"/>
      <c r="C179" s="39"/>
      <c r="D179" s="38"/>
      <c r="E179" s="38"/>
      <c r="F179" s="38"/>
      <c r="G179" s="40"/>
      <c r="H179" s="40"/>
      <c r="I179" s="40"/>
      <c r="J179" s="41" t="str">
        <f aca="false">IF(G179="","",G179+N(H179)+N(I179))</f>
        <v/>
      </c>
      <c r="K179" s="40"/>
      <c r="L179" s="40"/>
      <c r="M179" s="42"/>
      <c r="N179" s="42"/>
      <c r="O179" s="39"/>
      <c r="P179" s="38"/>
      <c r="Q179" s="38"/>
      <c r="R179" s="43" t="str">
        <f aca="false">IF(OR(P179="",Q179=""),"",P179/(P179+Q179))</f>
        <v/>
      </c>
      <c r="S179" s="41" t="str">
        <f aca="false">IF(OR(K179="",G179=""),"",K179+N(L179))</f>
        <v/>
      </c>
      <c r="T179" s="41" t="str">
        <f aca="false">IF(OR(K179="",G179=""),"",S179*Settings!$B$10)</f>
        <v/>
      </c>
      <c r="U179" s="41" t="str">
        <f aca="false">IF(OR(K179="",G179=""),"",(S179+T179)*IF(N179="",Settings!$B$5,N179))</f>
        <v/>
      </c>
      <c r="V179" s="41" t="str">
        <f aca="false">IF(OR(K179="",G179=""),"",IF(S179+T179&lt;=Settings!$B$8,Settings!$B$6,Settings!$B$7))</f>
        <v/>
      </c>
      <c r="W179" s="41" t="str">
        <f aca="false">IF(OR(K179="",G179=""),"",S179*IF(UPPER(O179)="Y",Settings!$B$9,0))</f>
        <v/>
      </c>
      <c r="X179" s="41" t="str">
        <f aca="false">IF(OR(K179="",G179=""),"",(S179+T179)*IF(M179="",Settings!$B$11,M179))</f>
        <v/>
      </c>
      <c r="Y179" s="41" t="str">
        <f aca="false">IF(OR(K179="",G179=""),"",U179+V179+W179+X179)</f>
        <v/>
      </c>
      <c r="Z179" s="41" t="str">
        <f aca="false">IF(OR(K179="",G179=""),"",S179-Y179)</f>
        <v/>
      </c>
      <c r="AA179" s="41" t="str">
        <f aca="false">IF(OR(K179="",G179=""),"",Z179*Settings!$B$12)</f>
        <v/>
      </c>
      <c r="AB179" s="41" t="str">
        <f aca="false">IF(OR(K179="",G179=""),"",S179*Settings!$B$13)</f>
        <v/>
      </c>
      <c r="AC179" s="44" t="str">
        <f aca="false">IF(OR(K179="",G179=""),"",Z179-AA179-AB179-J179)</f>
        <v/>
      </c>
      <c r="AD179" s="45" t="str">
        <f aca="false">IF(OR(K179="",G179=""),"",AC179*Settings!$B$14)</f>
        <v/>
      </c>
      <c r="AE179" s="43" t="str">
        <f aca="false">IF(OR(K179="",G179=""),"",IF(S179=0,"",AC179/S179))</f>
        <v/>
      </c>
      <c r="AF179" s="43" t="str">
        <f aca="false">IF(OR(K179="",G179=""),"",IF(J179=0,"",AC179/J179))</f>
        <v/>
      </c>
      <c r="AG179" s="41" t="str">
        <f aca="false">IF(OR(K179="",G179=""),"",(J179+V179)/(1-(1+Settings!$B$10)*(IF(N179="",Settings!$B$5,N179)+IF(M179="",Settings!$B$11,M179))-IF(UPPER(O179)="Y",Settings!$B$9,0)-Settings!$B$13-Settings!$B$12)-N(L179))</f>
        <v/>
      </c>
      <c r="AH179" s="41" t="str">
        <f aca="false">IF(OR(K179="",G179=""),"",(J179+V179+Settings!$B$15)/(1-(1+Settings!$B$10)*(IF(N179="",Settings!$B$5,N179)+IF(M179="",Settings!$B$11,M179))-IF(UPPER(O179)="Y",Settings!$B$9,0)-Settings!$B$13-Settings!$B$12)-N(L179))</f>
        <v/>
      </c>
      <c r="AI179" s="46" t="str">
        <f aca="false">IF(C179="","",IF(OR(ISNUMBER(SEARCH("amazon",C179)),ISNUMBER(SEARCH("walmart",C179)),ISNUMBER(SEARCH("aliexpress",C179)),ISNUMBER(SEARCH("temu",C179))),"⚠ Retail source — not allowed","✓ Wholesale / own stock"))</f>
        <v/>
      </c>
      <c r="AJ179" s="47" t="str">
        <f aca="false">IF(OR(K179="",G179=""),"",IF(LEFT(AI179,1)="⚠","❌ SKIP",IF(AND(AC179&gt;=Settings!$B$15,AF179&gt;=Settings!$B$16,OR(R179="",N(R179)&gt;=Settings!$B$17)),"✅ GO",IF(AC179&gt;0,"⚠ CHECK","❌ SKIP"))))</f>
        <v/>
      </c>
      <c r="AK179" s="38"/>
    </row>
    <row r="180" customFormat="false" ht="15" hidden="false" customHeight="false" outlineLevel="0" collapsed="false">
      <c r="A180" s="37" t="str">
        <f aca="false">IF(B180="","",ROW()-4)</f>
        <v/>
      </c>
      <c r="B180" s="38"/>
      <c r="C180" s="39"/>
      <c r="D180" s="38"/>
      <c r="E180" s="38"/>
      <c r="F180" s="38"/>
      <c r="G180" s="40"/>
      <c r="H180" s="40"/>
      <c r="I180" s="40"/>
      <c r="J180" s="41" t="str">
        <f aca="false">IF(G180="","",G180+N(H180)+N(I180))</f>
        <v/>
      </c>
      <c r="K180" s="40"/>
      <c r="L180" s="40"/>
      <c r="M180" s="42"/>
      <c r="N180" s="42"/>
      <c r="O180" s="39"/>
      <c r="P180" s="38"/>
      <c r="Q180" s="38"/>
      <c r="R180" s="43" t="str">
        <f aca="false">IF(OR(P180="",Q180=""),"",P180/(P180+Q180))</f>
        <v/>
      </c>
      <c r="S180" s="41" t="str">
        <f aca="false">IF(OR(K180="",G180=""),"",K180+N(L180))</f>
        <v/>
      </c>
      <c r="T180" s="41" t="str">
        <f aca="false">IF(OR(K180="",G180=""),"",S180*Settings!$B$10)</f>
        <v/>
      </c>
      <c r="U180" s="41" t="str">
        <f aca="false">IF(OR(K180="",G180=""),"",(S180+T180)*IF(N180="",Settings!$B$5,N180))</f>
        <v/>
      </c>
      <c r="V180" s="41" t="str">
        <f aca="false">IF(OR(K180="",G180=""),"",IF(S180+T180&lt;=Settings!$B$8,Settings!$B$6,Settings!$B$7))</f>
        <v/>
      </c>
      <c r="W180" s="41" t="str">
        <f aca="false">IF(OR(K180="",G180=""),"",S180*IF(UPPER(O180)="Y",Settings!$B$9,0))</f>
        <v/>
      </c>
      <c r="X180" s="41" t="str">
        <f aca="false">IF(OR(K180="",G180=""),"",(S180+T180)*IF(M180="",Settings!$B$11,M180))</f>
        <v/>
      </c>
      <c r="Y180" s="41" t="str">
        <f aca="false">IF(OR(K180="",G180=""),"",U180+V180+W180+X180)</f>
        <v/>
      </c>
      <c r="Z180" s="41" t="str">
        <f aca="false">IF(OR(K180="",G180=""),"",S180-Y180)</f>
        <v/>
      </c>
      <c r="AA180" s="41" t="str">
        <f aca="false">IF(OR(K180="",G180=""),"",Z180*Settings!$B$12)</f>
        <v/>
      </c>
      <c r="AB180" s="41" t="str">
        <f aca="false">IF(OR(K180="",G180=""),"",S180*Settings!$B$13)</f>
        <v/>
      </c>
      <c r="AC180" s="44" t="str">
        <f aca="false">IF(OR(K180="",G180=""),"",Z180-AA180-AB180-J180)</f>
        <v/>
      </c>
      <c r="AD180" s="45" t="str">
        <f aca="false">IF(OR(K180="",G180=""),"",AC180*Settings!$B$14)</f>
        <v/>
      </c>
      <c r="AE180" s="43" t="str">
        <f aca="false">IF(OR(K180="",G180=""),"",IF(S180=0,"",AC180/S180))</f>
        <v/>
      </c>
      <c r="AF180" s="43" t="str">
        <f aca="false">IF(OR(K180="",G180=""),"",IF(J180=0,"",AC180/J180))</f>
        <v/>
      </c>
      <c r="AG180" s="41" t="str">
        <f aca="false">IF(OR(K180="",G180=""),"",(J180+V180)/(1-(1+Settings!$B$10)*(IF(N180="",Settings!$B$5,N180)+IF(M180="",Settings!$B$11,M180))-IF(UPPER(O180)="Y",Settings!$B$9,0)-Settings!$B$13-Settings!$B$12)-N(L180))</f>
        <v/>
      </c>
      <c r="AH180" s="41" t="str">
        <f aca="false">IF(OR(K180="",G180=""),"",(J180+V180+Settings!$B$15)/(1-(1+Settings!$B$10)*(IF(N180="",Settings!$B$5,N180)+IF(M180="",Settings!$B$11,M180))-IF(UPPER(O180)="Y",Settings!$B$9,0)-Settings!$B$13-Settings!$B$12)-N(L180))</f>
        <v/>
      </c>
      <c r="AI180" s="46" t="str">
        <f aca="false">IF(C180="","",IF(OR(ISNUMBER(SEARCH("amazon",C180)),ISNUMBER(SEARCH("walmart",C180)),ISNUMBER(SEARCH("aliexpress",C180)),ISNUMBER(SEARCH("temu",C180))),"⚠ Retail source — not allowed","✓ Wholesale / own stock"))</f>
        <v/>
      </c>
      <c r="AJ180" s="47" t="str">
        <f aca="false">IF(OR(K180="",G180=""),"",IF(LEFT(AI180,1)="⚠","❌ SKIP",IF(AND(AC180&gt;=Settings!$B$15,AF180&gt;=Settings!$B$16,OR(R180="",N(R180)&gt;=Settings!$B$17)),"✅ GO",IF(AC180&gt;0,"⚠ CHECK","❌ SKIP"))))</f>
        <v/>
      </c>
      <c r="AK180" s="38"/>
    </row>
    <row r="181" customFormat="false" ht="15" hidden="false" customHeight="false" outlineLevel="0" collapsed="false">
      <c r="A181" s="37" t="str">
        <f aca="false">IF(B181="","",ROW()-4)</f>
        <v/>
      </c>
      <c r="B181" s="38"/>
      <c r="C181" s="39"/>
      <c r="D181" s="38"/>
      <c r="E181" s="38"/>
      <c r="F181" s="38"/>
      <c r="G181" s="40"/>
      <c r="H181" s="40"/>
      <c r="I181" s="40"/>
      <c r="J181" s="41" t="str">
        <f aca="false">IF(G181="","",G181+N(H181)+N(I181))</f>
        <v/>
      </c>
      <c r="K181" s="40"/>
      <c r="L181" s="40"/>
      <c r="M181" s="42"/>
      <c r="N181" s="42"/>
      <c r="O181" s="39"/>
      <c r="P181" s="38"/>
      <c r="Q181" s="38"/>
      <c r="R181" s="43" t="str">
        <f aca="false">IF(OR(P181="",Q181=""),"",P181/(P181+Q181))</f>
        <v/>
      </c>
      <c r="S181" s="41" t="str">
        <f aca="false">IF(OR(K181="",G181=""),"",K181+N(L181))</f>
        <v/>
      </c>
      <c r="T181" s="41" t="str">
        <f aca="false">IF(OR(K181="",G181=""),"",S181*Settings!$B$10)</f>
        <v/>
      </c>
      <c r="U181" s="41" t="str">
        <f aca="false">IF(OR(K181="",G181=""),"",(S181+T181)*IF(N181="",Settings!$B$5,N181))</f>
        <v/>
      </c>
      <c r="V181" s="41" t="str">
        <f aca="false">IF(OR(K181="",G181=""),"",IF(S181+T181&lt;=Settings!$B$8,Settings!$B$6,Settings!$B$7))</f>
        <v/>
      </c>
      <c r="W181" s="41" t="str">
        <f aca="false">IF(OR(K181="",G181=""),"",S181*IF(UPPER(O181)="Y",Settings!$B$9,0))</f>
        <v/>
      </c>
      <c r="X181" s="41" t="str">
        <f aca="false">IF(OR(K181="",G181=""),"",(S181+T181)*IF(M181="",Settings!$B$11,M181))</f>
        <v/>
      </c>
      <c r="Y181" s="41" t="str">
        <f aca="false">IF(OR(K181="",G181=""),"",U181+V181+W181+X181)</f>
        <v/>
      </c>
      <c r="Z181" s="41" t="str">
        <f aca="false">IF(OR(K181="",G181=""),"",S181-Y181)</f>
        <v/>
      </c>
      <c r="AA181" s="41" t="str">
        <f aca="false">IF(OR(K181="",G181=""),"",Z181*Settings!$B$12)</f>
        <v/>
      </c>
      <c r="AB181" s="41" t="str">
        <f aca="false">IF(OR(K181="",G181=""),"",S181*Settings!$B$13)</f>
        <v/>
      </c>
      <c r="AC181" s="44" t="str">
        <f aca="false">IF(OR(K181="",G181=""),"",Z181-AA181-AB181-J181)</f>
        <v/>
      </c>
      <c r="AD181" s="45" t="str">
        <f aca="false">IF(OR(K181="",G181=""),"",AC181*Settings!$B$14)</f>
        <v/>
      </c>
      <c r="AE181" s="43" t="str">
        <f aca="false">IF(OR(K181="",G181=""),"",IF(S181=0,"",AC181/S181))</f>
        <v/>
      </c>
      <c r="AF181" s="43" t="str">
        <f aca="false">IF(OR(K181="",G181=""),"",IF(J181=0,"",AC181/J181))</f>
        <v/>
      </c>
      <c r="AG181" s="41" t="str">
        <f aca="false">IF(OR(K181="",G181=""),"",(J181+V181)/(1-(1+Settings!$B$10)*(IF(N181="",Settings!$B$5,N181)+IF(M181="",Settings!$B$11,M181))-IF(UPPER(O181)="Y",Settings!$B$9,0)-Settings!$B$13-Settings!$B$12)-N(L181))</f>
        <v/>
      </c>
      <c r="AH181" s="41" t="str">
        <f aca="false">IF(OR(K181="",G181=""),"",(J181+V181+Settings!$B$15)/(1-(1+Settings!$B$10)*(IF(N181="",Settings!$B$5,N181)+IF(M181="",Settings!$B$11,M181))-IF(UPPER(O181)="Y",Settings!$B$9,0)-Settings!$B$13-Settings!$B$12)-N(L181))</f>
        <v/>
      </c>
      <c r="AI181" s="46" t="str">
        <f aca="false">IF(C181="","",IF(OR(ISNUMBER(SEARCH("amazon",C181)),ISNUMBER(SEARCH("walmart",C181)),ISNUMBER(SEARCH("aliexpress",C181)),ISNUMBER(SEARCH("temu",C181))),"⚠ Retail source — not allowed","✓ Wholesale / own stock"))</f>
        <v/>
      </c>
      <c r="AJ181" s="47" t="str">
        <f aca="false">IF(OR(K181="",G181=""),"",IF(LEFT(AI181,1)="⚠","❌ SKIP",IF(AND(AC181&gt;=Settings!$B$15,AF181&gt;=Settings!$B$16,OR(R181="",N(R181)&gt;=Settings!$B$17)),"✅ GO",IF(AC181&gt;0,"⚠ CHECK","❌ SKIP"))))</f>
        <v/>
      </c>
      <c r="AK181" s="38"/>
    </row>
    <row r="182" customFormat="false" ht="15" hidden="false" customHeight="false" outlineLevel="0" collapsed="false">
      <c r="A182" s="37" t="str">
        <f aca="false">IF(B182="","",ROW()-4)</f>
        <v/>
      </c>
      <c r="B182" s="38"/>
      <c r="C182" s="39"/>
      <c r="D182" s="38"/>
      <c r="E182" s="38"/>
      <c r="F182" s="38"/>
      <c r="G182" s="40"/>
      <c r="H182" s="40"/>
      <c r="I182" s="40"/>
      <c r="J182" s="41" t="str">
        <f aca="false">IF(G182="","",G182+N(H182)+N(I182))</f>
        <v/>
      </c>
      <c r="K182" s="40"/>
      <c r="L182" s="40"/>
      <c r="M182" s="42"/>
      <c r="N182" s="42"/>
      <c r="O182" s="39"/>
      <c r="P182" s="38"/>
      <c r="Q182" s="38"/>
      <c r="R182" s="43" t="str">
        <f aca="false">IF(OR(P182="",Q182=""),"",P182/(P182+Q182))</f>
        <v/>
      </c>
      <c r="S182" s="41" t="str">
        <f aca="false">IF(OR(K182="",G182=""),"",K182+N(L182))</f>
        <v/>
      </c>
      <c r="T182" s="41" t="str">
        <f aca="false">IF(OR(K182="",G182=""),"",S182*Settings!$B$10)</f>
        <v/>
      </c>
      <c r="U182" s="41" t="str">
        <f aca="false">IF(OR(K182="",G182=""),"",(S182+T182)*IF(N182="",Settings!$B$5,N182))</f>
        <v/>
      </c>
      <c r="V182" s="41" t="str">
        <f aca="false">IF(OR(K182="",G182=""),"",IF(S182+T182&lt;=Settings!$B$8,Settings!$B$6,Settings!$B$7))</f>
        <v/>
      </c>
      <c r="W182" s="41" t="str">
        <f aca="false">IF(OR(K182="",G182=""),"",S182*IF(UPPER(O182)="Y",Settings!$B$9,0))</f>
        <v/>
      </c>
      <c r="X182" s="41" t="str">
        <f aca="false">IF(OR(K182="",G182=""),"",(S182+T182)*IF(M182="",Settings!$B$11,M182))</f>
        <v/>
      </c>
      <c r="Y182" s="41" t="str">
        <f aca="false">IF(OR(K182="",G182=""),"",U182+V182+W182+X182)</f>
        <v/>
      </c>
      <c r="Z182" s="41" t="str">
        <f aca="false">IF(OR(K182="",G182=""),"",S182-Y182)</f>
        <v/>
      </c>
      <c r="AA182" s="41" t="str">
        <f aca="false">IF(OR(K182="",G182=""),"",Z182*Settings!$B$12)</f>
        <v/>
      </c>
      <c r="AB182" s="41" t="str">
        <f aca="false">IF(OR(K182="",G182=""),"",S182*Settings!$B$13)</f>
        <v/>
      </c>
      <c r="AC182" s="44" t="str">
        <f aca="false">IF(OR(K182="",G182=""),"",Z182-AA182-AB182-J182)</f>
        <v/>
      </c>
      <c r="AD182" s="45" t="str">
        <f aca="false">IF(OR(K182="",G182=""),"",AC182*Settings!$B$14)</f>
        <v/>
      </c>
      <c r="AE182" s="43" t="str">
        <f aca="false">IF(OR(K182="",G182=""),"",IF(S182=0,"",AC182/S182))</f>
        <v/>
      </c>
      <c r="AF182" s="43" t="str">
        <f aca="false">IF(OR(K182="",G182=""),"",IF(J182=0,"",AC182/J182))</f>
        <v/>
      </c>
      <c r="AG182" s="41" t="str">
        <f aca="false">IF(OR(K182="",G182=""),"",(J182+V182)/(1-(1+Settings!$B$10)*(IF(N182="",Settings!$B$5,N182)+IF(M182="",Settings!$B$11,M182))-IF(UPPER(O182)="Y",Settings!$B$9,0)-Settings!$B$13-Settings!$B$12)-N(L182))</f>
        <v/>
      </c>
      <c r="AH182" s="41" t="str">
        <f aca="false">IF(OR(K182="",G182=""),"",(J182+V182+Settings!$B$15)/(1-(1+Settings!$B$10)*(IF(N182="",Settings!$B$5,N182)+IF(M182="",Settings!$B$11,M182))-IF(UPPER(O182)="Y",Settings!$B$9,0)-Settings!$B$13-Settings!$B$12)-N(L182))</f>
        <v/>
      </c>
      <c r="AI182" s="46" t="str">
        <f aca="false">IF(C182="","",IF(OR(ISNUMBER(SEARCH("amazon",C182)),ISNUMBER(SEARCH("walmart",C182)),ISNUMBER(SEARCH("aliexpress",C182)),ISNUMBER(SEARCH("temu",C182))),"⚠ Retail source — not allowed","✓ Wholesale / own stock"))</f>
        <v/>
      </c>
      <c r="AJ182" s="47" t="str">
        <f aca="false">IF(OR(K182="",G182=""),"",IF(LEFT(AI182,1)="⚠","❌ SKIP",IF(AND(AC182&gt;=Settings!$B$15,AF182&gt;=Settings!$B$16,OR(R182="",N(R182)&gt;=Settings!$B$17)),"✅ GO",IF(AC182&gt;0,"⚠ CHECK","❌ SKIP"))))</f>
        <v/>
      </c>
      <c r="AK182" s="38"/>
    </row>
    <row r="183" customFormat="false" ht="15" hidden="false" customHeight="false" outlineLevel="0" collapsed="false">
      <c r="A183" s="37" t="str">
        <f aca="false">IF(B183="","",ROW()-4)</f>
        <v/>
      </c>
      <c r="B183" s="38"/>
      <c r="C183" s="39"/>
      <c r="D183" s="38"/>
      <c r="E183" s="38"/>
      <c r="F183" s="38"/>
      <c r="G183" s="40"/>
      <c r="H183" s="40"/>
      <c r="I183" s="40"/>
      <c r="J183" s="41" t="str">
        <f aca="false">IF(G183="","",G183+N(H183)+N(I183))</f>
        <v/>
      </c>
      <c r="K183" s="40"/>
      <c r="L183" s="40"/>
      <c r="M183" s="42"/>
      <c r="N183" s="42"/>
      <c r="O183" s="39"/>
      <c r="P183" s="38"/>
      <c r="Q183" s="38"/>
      <c r="R183" s="43" t="str">
        <f aca="false">IF(OR(P183="",Q183=""),"",P183/(P183+Q183))</f>
        <v/>
      </c>
      <c r="S183" s="41" t="str">
        <f aca="false">IF(OR(K183="",G183=""),"",K183+N(L183))</f>
        <v/>
      </c>
      <c r="T183" s="41" t="str">
        <f aca="false">IF(OR(K183="",G183=""),"",S183*Settings!$B$10)</f>
        <v/>
      </c>
      <c r="U183" s="41" t="str">
        <f aca="false">IF(OR(K183="",G183=""),"",(S183+T183)*IF(N183="",Settings!$B$5,N183))</f>
        <v/>
      </c>
      <c r="V183" s="41" t="str">
        <f aca="false">IF(OR(K183="",G183=""),"",IF(S183+T183&lt;=Settings!$B$8,Settings!$B$6,Settings!$B$7))</f>
        <v/>
      </c>
      <c r="W183" s="41" t="str">
        <f aca="false">IF(OR(K183="",G183=""),"",S183*IF(UPPER(O183)="Y",Settings!$B$9,0))</f>
        <v/>
      </c>
      <c r="X183" s="41" t="str">
        <f aca="false">IF(OR(K183="",G183=""),"",(S183+T183)*IF(M183="",Settings!$B$11,M183))</f>
        <v/>
      </c>
      <c r="Y183" s="41" t="str">
        <f aca="false">IF(OR(K183="",G183=""),"",U183+V183+W183+X183)</f>
        <v/>
      </c>
      <c r="Z183" s="41" t="str">
        <f aca="false">IF(OR(K183="",G183=""),"",S183-Y183)</f>
        <v/>
      </c>
      <c r="AA183" s="41" t="str">
        <f aca="false">IF(OR(K183="",G183=""),"",Z183*Settings!$B$12)</f>
        <v/>
      </c>
      <c r="AB183" s="41" t="str">
        <f aca="false">IF(OR(K183="",G183=""),"",S183*Settings!$B$13)</f>
        <v/>
      </c>
      <c r="AC183" s="44" t="str">
        <f aca="false">IF(OR(K183="",G183=""),"",Z183-AA183-AB183-J183)</f>
        <v/>
      </c>
      <c r="AD183" s="45" t="str">
        <f aca="false">IF(OR(K183="",G183=""),"",AC183*Settings!$B$14)</f>
        <v/>
      </c>
      <c r="AE183" s="43" t="str">
        <f aca="false">IF(OR(K183="",G183=""),"",IF(S183=0,"",AC183/S183))</f>
        <v/>
      </c>
      <c r="AF183" s="43" t="str">
        <f aca="false">IF(OR(K183="",G183=""),"",IF(J183=0,"",AC183/J183))</f>
        <v/>
      </c>
      <c r="AG183" s="41" t="str">
        <f aca="false">IF(OR(K183="",G183=""),"",(J183+V183)/(1-(1+Settings!$B$10)*(IF(N183="",Settings!$B$5,N183)+IF(M183="",Settings!$B$11,M183))-IF(UPPER(O183)="Y",Settings!$B$9,0)-Settings!$B$13-Settings!$B$12)-N(L183))</f>
        <v/>
      </c>
      <c r="AH183" s="41" t="str">
        <f aca="false">IF(OR(K183="",G183=""),"",(J183+V183+Settings!$B$15)/(1-(1+Settings!$B$10)*(IF(N183="",Settings!$B$5,N183)+IF(M183="",Settings!$B$11,M183))-IF(UPPER(O183)="Y",Settings!$B$9,0)-Settings!$B$13-Settings!$B$12)-N(L183))</f>
        <v/>
      </c>
      <c r="AI183" s="46" t="str">
        <f aca="false">IF(C183="","",IF(OR(ISNUMBER(SEARCH("amazon",C183)),ISNUMBER(SEARCH("walmart",C183)),ISNUMBER(SEARCH("aliexpress",C183)),ISNUMBER(SEARCH("temu",C183))),"⚠ Retail source — not allowed","✓ Wholesale / own stock"))</f>
        <v/>
      </c>
      <c r="AJ183" s="47" t="str">
        <f aca="false">IF(OR(K183="",G183=""),"",IF(LEFT(AI183,1)="⚠","❌ SKIP",IF(AND(AC183&gt;=Settings!$B$15,AF183&gt;=Settings!$B$16,OR(R183="",N(R183)&gt;=Settings!$B$17)),"✅ GO",IF(AC183&gt;0,"⚠ CHECK","❌ SKIP"))))</f>
        <v/>
      </c>
      <c r="AK183" s="38"/>
    </row>
    <row r="184" customFormat="false" ht="15" hidden="false" customHeight="false" outlineLevel="0" collapsed="false">
      <c r="A184" s="37" t="str">
        <f aca="false">IF(B184="","",ROW()-4)</f>
        <v/>
      </c>
      <c r="B184" s="38"/>
      <c r="C184" s="39"/>
      <c r="D184" s="38"/>
      <c r="E184" s="38"/>
      <c r="F184" s="38"/>
      <c r="G184" s="40"/>
      <c r="H184" s="40"/>
      <c r="I184" s="40"/>
      <c r="J184" s="41" t="str">
        <f aca="false">IF(G184="","",G184+N(H184)+N(I184))</f>
        <v/>
      </c>
      <c r="K184" s="40"/>
      <c r="L184" s="40"/>
      <c r="M184" s="42"/>
      <c r="N184" s="42"/>
      <c r="O184" s="39"/>
      <c r="P184" s="38"/>
      <c r="Q184" s="38"/>
      <c r="R184" s="43" t="str">
        <f aca="false">IF(OR(P184="",Q184=""),"",P184/(P184+Q184))</f>
        <v/>
      </c>
      <c r="S184" s="41" t="str">
        <f aca="false">IF(OR(K184="",G184=""),"",K184+N(L184))</f>
        <v/>
      </c>
      <c r="T184" s="41" t="str">
        <f aca="false">IF(OR(K184="",G184=""),"",S184*Settings!$B$10)</f>
        <v/>
      </c>
      <c r="U184" s="41" t="str">
        <f aca="false">IF(OR(K184="",G184=""),"",(S184+T184)*IF(N184="",Settings!$B$5,N184))</f>
        <v/>
      </c>
      <c r="V184" s="41" t="str">
        <f aca="false">IF(OR(K184="",G184=""),"",IF(S184+T184&lt;=Settings!$B$8,Settings!$B$6,Settings!$B$7))</f>
        <v/>
      </c>
      <c r="W184" s="41" t="str">
        <f aca="false">IF(OR(K184="",G184=""),"",S184*IF(UPPER(O184)="Y",Settings!$B$9,0))</f>
        <v/>
      </c>
      <c r="X184" s="41" t="str">
        <f aca="false">IF(OR(K184="",G184=""),"",(S184+T184)*IF(M184="",Settings!$B$11,M184))</f>
        <v/>
      </c>
      <c r="Y184" s="41" t="str">
        <f aca="false">IF(OR(K184="",G184=""),"",U184+V184+W184+X184)</f>
        <v/>
      </c>
      <c r="Z184" s="41" t="str">
        <f aca="false">IF(OR(K184="",G184=""),"",S184-Y184)</f>
        <v/>
      </c>
      <c r="AA184" s="41" t="str">
        <f aca="false">IF(OR(K184="",G184=""),"",Z184*Settings!$B$12)</f>
        <v/>
      </c>
      <c r="AB184" s="41" t="str">
        <f aca="false">IF(OR(K184="",G184=""),"",S184*Settings!$B$13)</f>
        <v/>
      </c>
      <c r="AC184" s="44" t="str">
        <f aca="false">IF(OR(K184="",G184=""),"",Z184-AA184-AB184-J184)</f>
        <v/>
      </c>
      <c r="AD184" s="45" t="str">
        <f aca="false">IF(OR(K184="",G184=""),"",AC184*Settings!$B$14)</f>
        <v/>
      </c>
      <c r="AE184" s="43" t="str">
        <f aca="false">IF(OR(K184="",G184=""),"",IF(S184=0,"",AC184/S184))</f>
        <v/>
      </c>
      <c r="AF184" s="43" t="str">
        <f aca="false">IF(OR(K184="",G184=""),"",IF(J184=0,"",AC184/J184))</f>
        <v/>
      </c>
      <c r="AG184" s="41" t="str">
        <f aca="false">IF(OR(K184="",G184=""),"",(J184+V184)/(1-(1+Settings!$B$10)*(IF(N184="",Settings!$B$5,N184)+IF(M184="",Settings!$B$11,M184))-IF(UPPER(O184)="Y",Settings!$B$9,0)-Settings!$B$13-Settings!$B$12)-N(L184))</f>
        <v/>
      </c>
      <c r="AH184" s="41" t="str">
        <f aca="false">IF(OR(K184="",G184=""),"",(J184+V184+Settings!$B$15)/(1-(1+Settings!$B$10)*(IF(N184="",Settings!$B$5,N184)+IF(M184="",Settings!$B$11,M184))-IF(UPPER(O184)="Y",Settings!$B$9,0)-Settings!$B$13-Settings!$B$12)-N(L184))</f>
        <v/>
      </c>
      <c r="AI184" s="46" t="str">
        <f aca="false">IF(C184="","",IF(OR(ISNUMBER(SEARCH("amazon",C184)),ISNUMBER(SEARCH("walmart",C184)),ISNUMBER(SEARCH("aliexpress",C184)),ISNUMBER(SEARCH("temu",C184))),"⚠ Retail source — not allowed","✓ Wholesale / own stock"))</f>
        <v/>
      </c>
      <c r="AJ184" s="47" t="str">
        <f aca="false">IF(OR(K184="",G184=""),"",IF(LEFT(AI184,1)="⚠","❌ SKIP",IF(AND(AC184&gt;=Settings!$B$15,AF184&gt;=Settings!$B$16,OR(R184="",N(R184)&gt;=Settings!$B$17)),"✅ GO",IF(AC184&gt;0,"⚠ CHECK","❌ SKIP"))))</f>
        <v/>
      </c>
      <c r="AK184" s="38"/>
    </row>
    <row r="185" customFormat="false" ht="15" hidden="false" customHeight="false" outlineLevel="0" collapsed="false">
      <c r="A185" s="37" t="str">
        <f aca="false">IF(B185="","",ROW()-4)</f>
        <v/>
      </c>
      <c r="B185" s="38"/>
      <c r="C185" s="39"/>
      <c r="D185" s="38"/>
      <c r="E185" s="38"/>
      <c r="F185" s="38"/>
      <c r="G185" s="40"/>
      <c r="H185" s="40"/>
      <c r="I185" s="40"/>
      <c r="J185" s="41" t="str">
        <f aca="false">IF(G185="","",G185+N(H185)+N(I185))</f>
        <v/>
      </c>
      <c r="K185" s="40"/>
      <c r="L185" s="40"/>
      <c r="M185" s="42"/>
      <c r="N185" s="42"/>
      <c r="O185" s="39"/>
      <c r="P185" s="38"/>
      <c r="Q185" s="38"/>
      <c r="R185" s="43" t="str">
        <f aca="false">IF(OR(P185="",Q185=""),"",P185/(P185+Q185))</f>
        <v/>
      </c>
      <c r="S185" s="41" t="str">
        <f aca="false">IF(OR(K185="",G185=""),"",K185+N(L185))</f>
        <v/>
      </c>
      <c r="T185" s="41" t="str">
        <f aca="false">IF(OR(K185="",G185=""),"",S185*Settings!$B$10)</f>
        <v/>
      </c>
      <c r="U185" s="41" t="str">
        <f aca="false">IF(OR(K185="",G185=""),"",(S185+T185)*IF(N185="",Settings!$B$5,N185))</f>
        <v/>
      </c>
      <c r="V185" s="41" t="str">
        <f aca="false">IF(OR(K185="",G185=""),"",IF(S185+T185&lt;=Settings!$B$8,Settings!$B$6,Settings!$B$7))</f>
        <v/>
      </c>
      <c r="W185" s="41" t="str">
        <f aca="false">IF(OR(K185="",G185=""),"",S185*IF(UPPER(O185)="Y",Settings!$B$9,0))</f>
        <v/>
      </c>
      <c r="X185" s="41" t="str">
        <f aca="false">IF(OR(K185="",G185=""),"",(S185+T185)*IF(M185="",Settings!$B$11,M185))</f>
        <v/>
      </c>
      <c r="Y185" s="41" t="str">
        <f aca="false">IF(OR(K185="",G185=""),"",U185+V185+W185+X185)</f>
        <v/>
      </c>
      <c r="Z185" s="41" t="str">
        <f aca="false">IF(OR(K185="",G185=""),"",S185-Y185)</f>
        <v/>
      </c>
      <c r="AA185" s="41" t="str">
        <f aca="false">IF(OR(K185="",G185=""),"",Z185*Settings!$B$12)</f>
        <v/>
      </c>
      <c r="AB185" s="41" t="str">
        <f aca="false">IF(OR(K185="",G185=""),"",S185*Settings!$B$13)</f>
        <v/>
      </c>
      <c r="AC185" s="44" t="str">
        <f aca="false">IF(OR(K185="",G185=""),"",Z185-AA185-AB185-J185)</f>
        <v/>
      </c>
      <c r="AD185" s="45" t="str">
        <f aca="false">IF(OR(K185="",G185=""),"",AC185*Settings!$B$14)</f>
        <v/>
      </c>
      <c r="AE185" s="43" t="str">
        <f aca="false">IF(OR(K185="",G185=""),"",IF(S185=0,"",AC185/S185))</f>
        <v/>
      </c>
      <c r="AF185" s="43" t="str">
        <f aca="false">IF(OR(K185="",G185=""),"",IF(J185=0,"",AC185/J185))</f>
        <v/>
      </c>
      <c r="AG185" s="41" t="str">
        <f aca="false">IF(OR(K185="",G185=""),"",(J185+V185)/(1-(1+Settings!$B$10)*(IF(N185="",Settings!$B$5,N185)+IF(M185="",Settings!$B$11,M185))-IF(UPPER(O185)="Y",Settings!$B$9,0)-Settings!$B$13-Settings!$B$12)-N(L185))</f>
        <v/>
      </c>
      <c r="AH185" s="41" t="str">
        <f aca="false">IF(OR(K185="",G185=""),"",(J185+V185+Settings!$B$15)/(1-(1+Settings!$B$10)*(IF(N185="",Settings!$B$5,N185)+IF(M185="",Settings!$B$11,M185))-IF(UPPER(O185)="Y",Settings!$B$9,0)-Settings!$B$13-Settings!$B$12)-N(L185))</f>
        <v/>
      </c>
      <c r="AI185" s="46" t="str">
        <f aca="false">IF(C185="","",IF(OR(ISNUMBER(SEARCH("amazon",C185)),ISNUMBER(SEARCH("walmart",C185)),ISNUMBER(SEARCH("aliexpress",C185)),ISNUMBER(SEARCH("temu",C185))),"⚠ Retail source — not allowed","✓ Wholesale / own stock"))</f>
        <v/>
      </c>
      <c r="AJ185" s="47" t="str">
        <f aca="false">IF(OR(K185="",G185=""),"",IF(LEFT(AI185,1)="⚠","❌ SKIP",IF(AND(AC185&gt;=Settings!$B$15,AF185&gt;=Settings!$B$16,OR(R185="",N(R185)&gt;=Settings!$B$17)),"✅ GO",IF(AC185&gt;0,"⚠ CHECK","❌ SKIP"))))</f>
        <v/>
      </c>
      <c r="AK185" s="38"/>
    </row>
    <row r="186" customFormat="false" ht="15" hidden="false" customHeight="false" outlineLevel="0" collapsed="false">
      <c r="A186" s="37" t="str">
        <f aca="false">IF(B186="","",ROW()-4)</f>
        <v/>
      </c>
      <c r="B186" s="38"/>
      <c r="C186" s="39"/>
      <c r="D186" s="38"/>
      <c r="E186" s="38"/>
      <c r="F186" s="38"/>
      <c r="G186" s="40"/>
      <c r="H186" s="40"/>
      <c r="I186" s="40"/>
      <c r="J186" s="41" t="str">
        <f aca="false">IF(G186="","",G186+N(H186)+N(I186))</f>
        <v/>
      </c>
      <c r="K186" s="40"/>
      <c r="L186" s="40"/>
      <c r="M186" s="42"/>
      <c r="N186" s="42"/>
      <c r="O186" s="39"/>
      <c r="P186" s="38"/>
      <c r="Q186" s="38"/>
      <c r="R186" s="43" t="str">
        <f aca="false">IF(OR(P186="",Q186=""),"",P186/(P186+Q186))</f>
        <v/>
      </c>
      <c r="S186" s="41" t="str">
        <f aca="false">IF(OR(K186="",G186=""),"",K186+N(L186))</f>
        <v/>
      </c>
      <c r="T186" s="41" t="str">
        <f aca="false">IF(OR(K186="",G186=""),"",S186*Settings!$B$10)</f>
        <v/>
      </c>
      <c r="U186" s="41" t="str">
        <f aca="false">IF(OR(K186="",G186=""),"",(S186+T186)*IF(N186="",Settings!$B$5,N186))</f>
        <v/>
      </c>
      <c r="V186" s="41" t="str">
        <f aca="false">IF(OR(K186="",G186=""),"",IF(S186+T186&lt;=Settings!$B$8,Settings!$B$6,Settings!$B$7))</f>
        <v/>
      </c>
      <c r="W186" s="41" t="str">
        <f aca="false">IF(OR(K186="",G186=""),"",S186*IF(UPPER(O186)="Y",Settings!$B$9,0))</f>
        <v/>
      </c>
      <c r="X186" s="41" t="str">
        <f aca="false">IF(OR(K186="",G186=""),"",(S186+T186)*IF(M186="",Settings!$B$11,M186))</f>
        <v/>
      </c>
      <c r="Y186" s="41" t="str">
        <f aca="false">IF(OR(K186="",G186=""),"",U186+V186+W186+X186)</f>
        <v/>
      </c>
      <c r="Z186" s="41" t="str">
        <f aca="false">IF(OR(K186="",G186=""),"",S186-Y186)</f>
        <v/>
      </c>
      <c r="AA186" s="41" t="str">
        <f aca="false">IF(OR(K186="",G186=""),"",Z186*Settings!$B$12)</f>
        <v/>
      </c>
      <c r="AB186" s="41" t="str">
        <f aca="false">IF(OR(K186="",G186=""),"",S186*Settings!$B$13)</f>
        <v/>
      </c>
      <c r="AC186" s="44" t="str">
        <f aca="false">IF(OR(K186="",G186=""),"",Z186-AA186-AB186-J186)</f>
        <v/>
      </c>
      <c r="AD186" s="45" t="str">
        <f aca="false">IF(OR(K186="",G186=""),"",AC186*Settings!$B$14)</f>
        <v/>
      </c>
      <c r="AE186" s="43" t="str">
        <f aca="false">IF(OR(K186="",G186=""),"",IF(S186=0,"",AC186/S186))</f>
        <v/>
      </c>
      <c r="AF186" s="43" t="str">
        <f aca="false">IF(OR(K186="",G186=""),"",IF(J186=0,"",AC186/J186))</f>
        <v/>
      </c>
      <c r="AG186" s="41" t="str">
        <f aca="false">IF(OR(K186="",G186=""),"",(J186+V186)/(1-(1+Settings!$B$10)*(IF(N186="",Settings!$B$5,N186)+IF(M186="",Settings!$B$11,M186))-IF(UPPER(O186)="Y",Settings!$B$9,0)-Settings!$B$13-Settings!$B$12)-N(L186))</f>
        <v/>
      </c>
      <c r="AH186" s="41" t="str">
        <f aca="false">IF(OR(K186="",G186=""),"",(J186+V186+Settings!$B$15)/(1-(1+Settings!$B$10)*(IF(N186="",Settings!$B$5,N186)+IF(M186="",Settings!$B$11,M186))-IF(UPPER(O186)="Y",Settings!$B$9,0)-Settings!$B$13-Settings!$B$12)-N(L186))</f>
        <v/>
      </c>
      <c r="AI186" s="46" t="str">
        <f aca="false">IF(C186="","",IF(OR(ISNUMBER(SEARCH("amazon",C186)),ISNUMBER(SEARCH("walmart",C186)),ISNUMBER(SEARCH("aliexpress",C186)),ISNUMBER(SEARCH("temu",C186))),"⚠ Retail source — not allowed","✓ Wholesale / own stock"))</f>
        <v/>
      </c>
      <c r="AJ186" s="47" t="str">
        <f aca="false">IF(OR(K186="",G186=""),"",IF(LEFT(AI186,1)="⚠","❌ SKIP",IF(AND(AC186&gt;=Settings!$B$15,AF186&gt;=Settings!$B$16,OR(R186="",N(R186)&gt;=Settings!$B$17)),"✅ GO",IF(AC186&gt;0,"⚠ CHECK","❌ SKIP"))))</f>
        <v/>
      </c>
      <c r="AK186" s="38"/>
    </row>
    <row r="187" customFormat="false" ht="15" hidden="false" customHeight="false" outlineLevel="0" collapsed="false">
      <c r="A187" s="37" t="str">
        <f aca="false">IF(B187="","",ROW()-4)</f>
        <v/>
      </c>
      <c r="B187" s="38"/>
      <c r="C187" s="39"/>
      <c r="D187" s="38"/>
      <c r="E187" s="38"/>
      <c r="F187" s="38"/>
      <c r="G187" s="40"/>
      <c r="H187" s="40"/>
      <c r="I187" s="40"/>
      <c r="J187" s="41" t="str">
        <f aca="false">IF(G187="","",G187+N(H187)+N(I187))</f>
        <v/>
      </c>
      <c r="K187" s="40"/>
      <c r="L187" s="40"/>
      <c r="M187" s="42"/>
      <c r="N187" s="42"/>
      <c r="O187" s="39"/>
      <c r="P187" s="38"/>
      <c r="Q187" s="38"/>
      <c r="R187" s="43" t="str">
        <f aca="false">IF(OR(P187="",Q187=""),"",P187/(P187+Q187))</f>
        <v/>
      </c>
      <c r="S187" s="41" t="str">
        <f aca="false">IF(OR(K187="",G187=""),"",K187+N(L187))</f>
        <v/>
      </c>
      <c r="T187" s="41" t="str">
        <f aca="false">IF(OR(K187="",G187=""),"",S187*Settings!$B$10)</f>
        <v/>
      </c>
      <c r="U187" s="41" t="str">
        <f aca="false">IF(OR(K187="",G187=""),"",(S187+T187)*IF(N187="",Settings!$B$5,N187))</f>
        <v/>
      </c>
      <c r="V187" s="41" t="str">
        <f aca="false">IF(OR(K187="",G187=""),"",IF(S187+T187&lt;=Settings!$B$8,Settings!$B$6,Settings!$B$7))</f>
        <v/>
      </c>
      <c r="W187" s="41" t="str">
        <f aca="false">IF(OR(K187="",G187=""),"",S187*IF(UPPER(O187)="Y",Settings!$B$9,0))</f>
        <v/>
      </c>
      <c r="X187" s="41" t="str">
        <f aca="false">IF(OR(K187="",G187=""),"",(S187+T187)*IF(M187="",Settings!$B$11,M187))</f>
        <v/>
      </c>
      <c r="Y187" s="41" t="str">
        <f aca="false">IF(OR(K187="",G187=""),"",U187+V187+W187+X187)</f>
        <v/>
      </c>
      <c r="Z187" s="41" t="str">
        <f aca="false">IF(OR(K187="",G187=""),"",S187-Y187)</f>
        <v/>
      </c>
      <c r="AA187" s="41" t="str">
        <f aca="false">IF(OR(K187="",G187=""),"",Z187*Settings!$B$12)</f>
        <v/>
      </c>
      <c r="AB187" s="41" t="str">
        <f aca="false">IF(OR(K187="",G187=""),"",S187*Settings!$B$13)</f>
        <v/>
      </c>
      <c r="AC187" s="44" t="str">
        <f aca="false">IF(OR(K187="",G187=""),"",Z187-AA187-AB187-J187)</f>
        <v/>
      </c>
      <c r="AD187" s="45" t="str">
        <f aca="false">IF(OR(K187="",G187=""),"",AC187*Settings!$B$14)</f>
        <v/>
      </c>
      <c r="AE187" s="43" t="str">
        <f aca="false">IF(OR(K187="",G187=""),"",IF(S187=0,"",AC187/S187))</f>
        <v/>
      </c>
      <c r="AF187" s="43" t="str">
        <f aca="false">IF(OR(K187="",G187=""),"",IF(J187=0,"",AC187/J187))</f>
        <v/>
      </c>
      <c r="AG187" s="41" t="str">
        <f aca="false">IF(OR(K187="",G187=""),"",(J187+V187)/(1-(1+Settings!$B$10)*(IF(N187="",Settings!$B$5,N187)+IF(M187="",Settings!$B$11,M187))-IF(UPPER(O187)="Y",Settings!$B$9,0)-Settings!$B$13-Settings!$B$12)-N(L187))</f>
        <v/>
      </c>
      <c r="AH187" s="41" t="str">
        <f aca="false">IF(OR(K187="",G187=""),"",(J187+V187+Settings!$B$15)/(1-(1+Settings!$B$10)*(IF(N187="",Settings!$B$5,N187)+IF(M187="",Settings!$B$11,M187))-IF(UPPER(O187)="Y",Settings!$B$9,0)-Settings!$B$13-Settings!$B$12)-N(L187))</f>
        <v/>
      </c>
      <c r="AI187" s="46" t="str">
        <f aca="false">IF(C187="","",IF(OR(ISNUMBER(SEARCH("amazon",C187)),ISNUMBER(SEARCH("walmart",C187)),ISNUMBER(SEARCH("aliexpress",C187)),ISNUMBER(SEARCH("temu",C187))),"⚠ Retail source — not allowed","✓ Wholesale / own stock"))</f>
        <v/>
      </c>
      <c r="AJ187" s="47" t="str">
        <f aca="false">IF(OR(K187="",G187=""),"",IF(LEFT(AI187,1)="⚠","❌ SKIP",IF(AND(AC187&gt;=Settings!$B$15,AF187&gt;=Settings!$B$16,OR(R187="",N(R187)&gt;=Settings!$B$17)),"✅ GO",IF(AC187&gt;0,"⚠ CHECK","❌ SKIP"))))</f>
        <v/>
      </c>
      <c r="AK187" s="38"/>
    </row>
    <row r="188" customFormat="false" ht="15" hidden="false" customHeight="false" outlineLevel="0" collapsed="false">
      <c r="A188" s="37" t="str">
        <f aca="false">IF(B188="","",ROW()-4)</f>
        <v/>
      </c>
      <c r="B188" s="38"/>
      <c r="C188" s="39"/>
      <c r="D188" s="38"/>
      <c r="E188" s="38"/>
      <c r="F188" s="38"/>
      <c r="G188" s="40"/>
      <c r="H188" s="40"/>
      <c r="I188" s="40"/>
      <c r="J188" s="41" t="str">
        <f aca="false">IF(G188="","",G188+N(H188)+N(I188))</f>
        <v/>
      </c>
      <c r="K188" s="40"/>
      <c r="L188" s="40"/>
      <c r="M188" s="42"/>
      <c r="N188" s="42"/>
      <c r="O188" s="39"/>
      <c r="P188" s="38"/>
      <c r="Q188" s="38"/>
      <c r="R188" s="43" t="str">
        <f aca="false">IF(OR(P188="",Q188=""),"",P188/(P188+Q188))</f>
        <v/>
      </c>
      <c r="S188" s="41" t="str">
        <f aca="false">IF(OR(K188="",G188=""),"",K188+N(L188))</f>
        <v/>
      </c>
      <c r="T188" s="41" t="str">
        <f aca="false">IF(OR(K188="",G188=""),"",S188*Settings!$B$10)</f>
        <v/>
      </c>
      <c r="U188" s="41" t="str">
        <f aca="false">IF(OR(K188="",G188=""),"",(S188+T188)*IF(N188="",Settings!$B$5,N188))</f>
        <v/>
      </c>
      <c r="V188" s="41" t="str">
        <f aca="false">IF(OR(K188="",G188=""),"",IF(S188+T188&lt;=Settings!$B$8,Settings!$B$6,Settings!$B$7))</f>
        <v/>
      </c>
      <c r="W188" s="41" t="str">
        <f aca="false">IF(OR(K188="",G188=""),"",S188*IF(UPPER(O188)="Y",Settings!$B$9,0))</f>
        <v/>
      </c>
      <c r="X188" s="41" t="str">
        <f aca="false">IF(OR(K188="",G188=""),"",(S188+T188)*IF(M188="",Settings!$B$11,M188))</f>
        <v/>
      </c>
      <c r="Y188" s="41" t="str">
        <f aca="false">IF(OR(K188="",G188=""),"",U188+V188+W188+X188)</f>
        <v/>
      </c>
      <c r="Z188" s="41" t="str">
        <f aca="false">IF(OR(K188="",G188=""),"",S188-Y188)</f>
        <v/>
      </c>
      <c r="AA188" s="41" t="str">
        <f aca="false">IF(OR(K188="",G188=""),"",Z188*Settings!$B$12)</f>
        <v/>
      </c>
      <c r="AB188" s="41" t="str">
        <f aca="false">IF(OR(K188="",G188=""),"",S188*Settings!$B$13)</f>
        <v/>
      </c>
      <c r="AC188" s="44" t="str">
        <f aca="false">IF(OR(K188="",G188=""),"",Z188-AA188-AB188-J188)</f>
        <v/>
      </c>
      <c r="AD188" s="45" t="str">
        <f aca="false">IF(OR(K188="",G188=""),"",AC188*Settings!$B$14)</f>
        <v/>
      </c>
      <c r="AE188" s="43" t="str">
        <f aca="false">IF(OR(K188="",G188=""),"",IF(S188=0,"",AC188/S188))</f>
        <v/>
      </c>
      <c r="AF188" s="43" t="str">
        <f aca="false">IF(OR(K188="",G188=""),"",IF(J188=0,"",AC188/J188))</f>
        <v/>
      </c>
      <c r="AG188" s="41" t="str">
        <f aca="false">IF(OR(K188="",G188=""),"",(J188+V188)/(1-(1+Settings!$B$10)*(IF(N188="",Settings!$B$5,N188)+IF(M188="",Settings!$B$11,M188))-IF(UPPER(O188)="Y",Settings!$B$9,0)-Settings!$B$13-Settings!$B$12)-N(L188))</f>
        <v/>
      </c>
      <c r="AH188" s="41" t="str">
        <f aca="false">IF(OR(K188="",G188=""),"",(J188+V188+Settings!$B$15)/(1-(1+Settings!$B$10)*(IF(N188="",Settings!$B$5,N188)+IF(M188="",Settings!$B$11,M188))-IF(UPPER(O188)="Y",Settings!$B$9,0)-Settings!$B$13-Settings!$B$12)-N(L188))</f>
        <v/>
      </c>
      <c r="AI188" s="46" t="str">
        <f aca="false">IF(C188="","",IF(OR(ISNUMBER(SEARCH("amazon",C188)),ISNUMBER(SEARCH("walmart",C188)),ISNUMBER(SEARCH("aliexpress",C188)),ISNUMBER(SEARCH("temu",C188))),"⚠ Retail source — not allowed","✓ Wholesale / own stock"))</f>
        <v/>
      </c>
      <c r="AJ188" s="47" t="str">
        <f aca="false">IF(OR(K188="",G188=""),"",IF(LEFT(AI188,1)="⚠","❌ SKIP",IF(AND(AC188&gt;=Settings!$B$15,AF188&gt;=Settings!$B$16,OR(R188="",N(R188)&gt;=Settings!$B$17)),"✅ GO",IF(AC188&gt;0,"⚠ CHECK","❌ SKIP"))))</f>
        <v/>
      </c>
      <c r="AK188" s="38"/>
    </row>
    <row r="189" customFormat="false" ht="15" hidden="false" customHeight="false" outlineLevel="0" collapsed="false">
      <c r="A189" s="37" t="str">
        <f aca="false">IF(B189="","",ROW()-4)</f>
        <v/>
      </c>
      <c r="B189" s="38"/>
      <c r="C189" s="39"/>
      <c r="D189" s="38"/>
      <c r="E189" s="38"/>
      <c r="F189" s="38"/>
      <c r="G189" s="40"/>
      <c r="H189" s="40"/>
      <c r="I189" s="40"/>
      <c r="J189" s="41" t="str">
        <f aca="false">IF(G189="","",G189+N(H189)+N(I189))</f>
        <v/>
      </c>
      <c r="K189" s="40"/>
      <c r="L189" s="40"/>
      <c r="M189" s="42"/>
      <c r="N189" s="42"/>
      <c r="O189" s="39"/>
      <c r="P189" s="38"/>
      <c r="Q189" s="38"/>
      <c r="R189" s="43" t="str">
        <f aca="false">IF(OR(P189="",Q189=""),"",P189/(P189+Q189))</f>
        <v/>
      </c>
      <c r="S189" s="41" t="str">
        <f aca="false">IF(OR(K189="",G189=""),"",K189+N(L189))</f>
        <v/>
      </c>
      <c r="T189" s="41" t="str">
        <f aca="false">IF(OR(K189="",G189=""),"",S189*Settings!$B$10)</f>
        <v/>
      </c>
      <c r="U189" s="41" t="str">
        <f aca="false">IF(OR(K189="",G189=""),"",(S189+T189)*IF(N189="",Settings!$B$5,N189))</f>
        <v/>
      </c>
      <c r="V189" s="41" t="str">
        <f aca="false">IF(OR(K189="",G189=""),"",IF(S189+T189&lt;=Settings!$B$8,Settings!$B$6,Settings!$B$7))</f>
        <v/>
      </c>
      <c r="W189" s="41" t="str">
        <f aca="false">IF(OR(K189="",G189=""),"",S189*IF(UPPER(O189)="Y",Settings!$B$9,0))</f>
        <v/>
      </c>
      <c r="X189" s="41" t="str">
        <f aca="false">IF(OR(K189="",G189=""),"",(S189+T189)*IF(M189="",Settings!$B$11,M189))</f>
        <v/>
      </c>
      <c r="Y189" s="41" t="str">
        <f aca="false">IF(OR(K189="",G189=""),"",U189+V189+W189+X189)</f>
        <v/>
      </c>
      <c r="Z189" s="41" t="str">
        <f aca="false">IF(OR(K189="",G189=""),"",S189-Y189)</f>
        <v/>
      </c>
      <c r="AA189" s="41" t="str">
        <f aca="false">IF(OR(K189="",G189=""),"",Z189*Settings!$B$12)</f>
        <v/>
      </c>
      <c r="AB189" s="41" t="str">
        <f aca="false">IF(OR(K189="",G189=""),"",S189*Settings!$B$13)</f>
        <v/>
      </c>
      <c r="AC189" s="44" t="str">
        <f aca="false">IF(OR(K189="",G189=""),"",Z189-AA189-AB189-J189)</f>
        <v/>
      </c>
      <c r="AD189" s="45" t="str">
        <f aca="false">IF(OR(K189="",G189=""),"",AC189*Settings!$B$14)</f>
        <v/>
      </c>
      <c r="AE189" s="43" t="str">
        <f aca="false">IF(OR(K189="",G189=""),"",IF(S189=0,"",AC189/S189))</f>
        <v/>
      </c>
      <c r="AF189" s="43" t="str">
        <f aca="false">IF(OR(K189="",G189=""),"",IF(J189=0,"",AC189/J189))</f>
        <v/>
      </c>
      <c r="AG189" s="41" t="str">
        <f aca="false">IF(OR(K189="",G189=""),"",(J189+V189)/(1-(1+Settings!$B$10)*(IF(N189="",Settings!$B$5,N189)+IF(M189="",Settings!$B$11,M189))-IF(UPPER(O189)="Y",Settings!$B$9,0)-Settings!$B$13-Settings!$B$12)-N(L189))</f>
        <v/>
      </c>
      <c r="AH189" s="41" t="str">
        <f aca="false">IF(OR(K189="",G189=""),"",(J189+V189+Settings!$B$15)/(1-(1+Settings!$B$10)*(IF(N189="",Settings!$B$5,N189)+IF(M189="",Settings!$B$11,M189))-IF(UPPER(O189)="Y",Settings!$B$9,0)-Settings!$B$13-Settings!$B$12)-N(L189))</f>
        <v/>
      </c>
      <c r="AI189" s="46" t="str">
        <f aca="false">IF(C189="","",IF(OR(ISNUMBER(SEARCH("amazon",C189)),ISNUMBER(SEARCH("walmart",C189)),ISNUMBER(SEARCH("aliexpress",C189)),ISNUMBER(SEARCH("temu",C189))),"⚠ Retail source — not allowed","✓ Wholesale / own stock"))</f>
        <v/>
      </c>
      <c r="AJ189" s="47" t="str">
        <f aca="false">IF(OR(K189="",G189=""),"",IF(LEFT(AI189,1)="⚠","❌ SKIP",IF(AND(AC189&gt;=Settings!$B$15,AF189&gt;=Settings!$B$16,OR(R189="",N(R189)&gt;=Settings!$B$17)),"✅ GO",IF(AC189&gt;0,"⚠ CHECK","❌ SKIP"))))</f>
        <v/>
      </c>
      <c r="AK189" s="38"/>
    </row>
    <row r="190" customFormat="false" ht="15" hidden="false" customHeight="false" outlineLevel="0" collapsed="false">
      <c r="A190" s="37" t="str">
        <f aca="false">IF(B190="","",ROW()-4)</f>
        <v/>
      </c>
      <c r="B190" s="38"/>
      <c r="C190" s="39"/>
      <c r="D190" s="38"/>
      <c r="E190" s="38"/>
      <c r="F190" s="38"/>
      <c r="G190" s="40"/>
      <c r="H190" s="40"/>
      <c r="I190" s="40"/>
      <c r="J190" s="41" t="str">
        <f aca="false">IF(G190="","",G190+N(H190)+N(I190))</f>
        <v/>
      </c>
      <c r="K190" s="40"/>
      <c r="L190" s="40"/>
      <c r="M190" s="42"/>
      <c r="N190" s="42"/>
      <c r="O190" s="39"/>
      <c r="P190" s="38"/>
      <c r="Q190" s="38"/>
      <c r="R190" s="43" t="str">
        <f aca="false">IF(OR(P190="",Q190=""),"",P190/(P190+Q190))</f>
        <v/>
      </c>
      <c r="S190" s="41" t="str">
        <f aca="false">IF(OR(K190="",G190=""),"",K190+N(L190))</f>
        <v/>
      </c>
      <c r="T190" s="41" t="str">
        <f aca="false">IF(OR(K190="",G190=""),"",S190*Settings!$B$10)</f>
        <v/>
      </c>
      <c r="U190" s="41" t="str">
        <f aca="false">IF(OR(K190="",G190=""),"",(S190+T190)*IF(N190="",Settings!$B$5,N190))</f>
        <v/>
      </c>
      <c r="V190" s="41" t="str">
        <f aca="false">IF(OR(K190="",G190=""),"",IF(S190+T190&lt;=Settings!$B$8,Settings!$B$6,Settings!$B$7))</f>
        <v/>
      </c>
      <c r="W190" s="41" t="str">
        <f aca="false">IF(OR(K190="",G190=""),"",S190*IF(UPPER(O190)="Y",Settings!$B$9,0))</f>
        <v/>
      </c>
      <c r="X190" s="41" t="str">
        <f aca="false">IF(OR(K190="",G190=""),"",(S190+T190)*IF(M190="",Settings!$B$11,M190))</f>
        <v/>
      </c>
      <c r="Y190" s="41" t="str">
        <f aca="false">IF(OR(K190="",G190=""),"",U190+V190+W190+X190)</f>
        <v/>
      </c>
      <c r="Z190" s="41" t="str">
        <f aca="false">IF(OR(K190="",G190=""),"",S190-Y190)</f>
        <v/>
      </c>
      <c r="AA190" s="41" t="str">
        <f aca="false">IF(OR(K190="",G190=""),"",Z190*Settings!$B$12)</f>
        <v/>
      </c>
      <c r="AB190" s="41" t="str">
        <f aca="false">IF(OR(K190="",G190=""),"",S190*Settings!$B$13)</f>
        <v/>
      </c>
      <c r="AC190" s="44" t="str">
        <f aca="false">IF(OR(K190="",G190=""),"",Z190-AA190-AB190-J190)</f>
        <v/>
      </c>
      <c r="AD190" s="45" t="str">
        <f aca="false">IF(OR(K190="",G190=""),"",AC190*Settings!$B$14)</f>
        <v/>
      </c>
      <c r="AE190" s="43" t="str">
        <f aca="false">IF(OR(K190="",G190=""),"",IF(S190=0,"",AC190/S190))</f>
        <v/>
      </c>
      <c r="AF190" s="43" t="str">
        <f aca="false">IF(OR(K190="",G190=""),"",IF(J190=0,"",AC190/J190))</f>
        <v/>
      </c>
      <c r="AG190" s="41" t="str">
        <f aca="false">IF(OR(K190="",G190=""),"",(J190+V190)/(1-(1+Settings!$B$10)*(IF(N190="",Settings!$B$5,N190)+IF(M190="",Settings!$B$11,M190))-IF(UPPER(O190)="Y",Settings!$B$9,0)-Settings!$B$13-Settings!$B$12)-N(L190))</f>
        <v/>
      </c>
      <c r="AH190" s="41" t="str">
        <f aca="false">IF(OR(K190="",G190=""),"",(J190+V190+Settings!$B$15)/(1-(1+Settings!$B$10)*(IF(N190="",Settings!$B$5,N190)+IF(M190="",Settings!$B$11,M190))-IF(UPPER(O190)="Y",Settings!$B$9,0)-Settings!$B$13-Settings!$B$12)-N(L190))</f>
        <v/>
      </c>
      <c r="AI190" s="46" t="str">
        <f aca="false">IF(C190="","",IF(OR(ISNUMBER(SEARCH("amazon",C190)),ISNUMBER(SEARCH("walmart",C190)),ISNUMBER(SEARCH("aliexpress",C190)),ISNUMBER(SEARCH("temu",C190))),"⚠ Retail source — not allowed","✓ Wholesale / own stock"))</f>
        <v/>
      </c>
      <c r="AJ190" s="47" t="str">
        <f aca="false">IF(OR(K190="",G190=""),"",IF(LEFT(AI190,1)="⚠","❌ SKIP",IF(AND(AC190&gt;=Settings!$B$15,AF190&gt;=Settings!$B$16,OR(R190="",N(R190)&gt;=Settings!$B$17)),"✅ GO",IF(AC190&gt;0,"⚠ CHECK","❌ SKIP"))))</f>
        <v/>
      </c>
      <c r="AK190" s="38"/>
    </row>
    <row r="191" customFormat="false" ht="15" hidden="false" customHeight="false" outlineLevel="0" collapsed="false">
      <c r="A191" s="37" t="str">
        <f aca="false">IF(B191="","",ROW()-4)</f>
        <v/>
      </c>
      <c r="B191" s="38"/>
      <c r="C191" s="39"/>
      <c r="D191" s="38"/>
      <c r="E191" s="38"/>
      <c r="F191" s="38"/>
      <c r="G191" s="40"/>
      <c r="H191" s="40"/>
      <c r="I191" s="40"/>
      <c r="J191" s="41" t="str">
        <f aca="false">IF(G191="","",G191+N(H191)+N(I191))</f>
        <v/>
      </c>
      <c r="K191" s="40"/>
      <c r="L191" s="40"/>
      <c r="M191" s="42"/>
      <c r="N191" s="42"/>
      <c r="O191" s="39"/>
      <c r="P191" s="38"/>
      <c r="Q191" s="38"/>
      <c r="R191" s="43" t="str">
        <f aca="false">IF(OR(P191="",Q191=""),"",P191/(P191+Q191))</f>
        <v/>
      </c>
      <c r="S191" s="41" t="str">
        <f aca="false">IF(OR(K191="",G191=""),"",K191+N(L191))</f>
        <v/>
      </c>
      <c r="T191" s="41" t="str">
        <f aca="false">IF(OR(K191="",G191=""),"",S191*Settings!$B$10)</f>
        <v/>
      </c>
      <c r="U191" s="41" t="str">
        <f aca="false">IF(OR(K191="",G191=""),"",(S191+T191)*IF(N191="",Settings!$B$5,N191))</f>
        <v/>
      </c>
      <c r="V191" s="41" t="str">
        <f aca="false">IF(OR(K191="",G191=""),"",IF(S191+T191&lt;=Settings!$B$8,Settings!$B$6,Settings!$B$7))</f>
        <v/>
      </c>
      <c r="W191" s="41" t="str">
        <f aca="false">IF(OR(K191="",G191=""),"",S191*IF(UPPER(O191)="Y",Settings!$B$9,0))</f>
        <v/>
      </c>
      <c r="X191" s="41" t="str">
        <f aca="false">IF(OR(K191="",G191=""),"",(S191+T191)*IF(M191="",Settings!$B$11,M191))</f>
        <v/>
      </c>
      <c r="Y191" s="41" t="str">
        <f aca="false">IF(OR(K191="",G191=""),"",U191+V191+W191+X191)</f>
        <v/>
      </c>
      <c r="Z191" s="41" t="str">
        <f aca="false">IF(OR(K191="",G191=""),"",S191-Y191)</f>
        <v/>
      </c>
      <c r="AA191" s="41" t="str">
        <f aca="false">IF(OR(K191="",G191=""),"",Z191*Settings!$B$12)</f>
        <v/>
      </c>
      <c r="AB191" s="41" t="str">
        <f aca="false">IF(OR(K191="",G191=""),"",S191*Settings!$B$13)</f>
        <v/>
      </c>
      <c r="AC191" s="44" t="str">
        <f aca="false">IF(OR(K191="",G191=""),"",Z191-AA191-AB191-J191)</f>
        <v/>
      </c>
      <c r="AD191" s="45" t="str">
        <f aca="false">IF(OR(K191="",G191=""),"",AC191*Settings!$B$14)</f>
        <v/>
      </c>
      <c r="AE191" s="43" t="str">
        <f aca="false">IF(OR(K191="",G191=""),"",IF(S191=0,"",AC191/S191))</f>
        <v/>
      </c>
      <c r="AF191" s="43" t="str">
        <f aca="false">IF(OR(K191="",G191=""),"",IF(J191=0,"",AC191/J191))</f>
        <v/>
      </c>
      <c r="AG191" s="41" t="str">
        <f aca="false">IF(OR(K191="",G191=""),"",(J191+V191)/(1-(1+Settings!$B$10)*(IF(N191="",Settings!$B$5,N191)+IF(M191="",Settings!$B$11,M191))-IF(UPPER(O191)="Y",Settings!$B$9,0)-Settings!$B$13-Settings!$B$12)-N(L191))</f>
        <v/>
      </c>
      <c r="AH191" s="41" t="str">
        <f aca="false">IF(OR(K191="",G191=""),"",(J191+V191+Settings!$B$15)/(1-(1+Settings!$B$10)*(IF(N191="",Settings!$B$5,N191)+IF(M191="",Settings!$B$11,M191))-IF(UPPER(O191)="Y",Settings!$B$9,0)-Settings!$B$13-Settings!$B$12)-N(L191))</f>
        <v/>
      </c>
      <c r="AI191" s="46" t="str">
        <f aca="false">IF(C191="","",IF(OR(ISNUMBER(SEARCH("amazon",C191)),ISNUMBER(SEARCH("walmart",C191)),ISNUMBER(SEARCH("aliexpress",C191)),ISNUMBER(SEARCH("temu",C191))),"⚠ Retail source — not allowed","✓ Wholesale / own stock"))</f>
        <v/>
      </c>
      <c r="AJ191" s="47" t="str">
        <f aca="false">IF(OR(K191="",G191=""),"",IF(LEFT(AI191,1)="⚠","❌ SKIP",IF(AND(AC191&gt;=Settings!$B$15,AF191&gt;=Settings!$B$16,OR(R191="",N(R191)&gt;=Settings!$B$17)),"✅ GO",IF(AC191&gt;0,"⚠ CHECK","❌ SKIP"))))</f>
        <v/>
      </c>
      <c r="AK191" s="38"/>
    </row>
    <row r="192" customFormat="false" ht="15" hidden="false" customHeight="false" outlineLevel="0" collapsed="false">
      <c r="A192" s="37" t="str">
        <f aca="false">IF(B192="","",ROW()-4)</f>
        <v/>
      </c>
      <c r="B192" s="38"/>
      <c r="C192" s="39"/>
      <c r="D192" s="38"/>
      <c r="E192" s="38"/>
      <c r="F192" s="38"/>
      <c r="G192" s="40"/>
      <c r="H192" s="40"/>
      <c r="I192" s="40"/>
      <c r="J192" s="41" t="str">
        <f aca="false">IF(G192="","",G192+N(H192)+N(I192))</f>
        <v/>
      </c>
      <c r="K192" s="40"/>
      <c r="L192" s="40"/>
      <c r="M192" s="42"/>
      <c r="N192" s="42"/>
      <c r="O192" s="39"/>
      <c r="P192" s="38"/>
      <c r="Q192" s="38"/>
      <c r="R192" s="43" t="str">
        <f aca="false">IF(OR(P192="",Q192=""),"",P192/(P192+Q192))</f>
        <v/>
      </c>
      <c r="S192" s="41" t="str">
        <f aca="false">IF(OR(K192="",G192=""),"",K192+N(L192))</f>
        <v/>
      </c>
      <c r="T192" s="41" t="str">
        <f aca="false">IF(OR(K192="",G192=""),"",S192*Settings!$B$10)</f>
        <v/>
      </c>
      <c r="U192" s="41" t="str">
        <f aca="false">IF(OR(K192="",G192=""),"",(S192+T192)*IF(N192="",Settings!$B$5,N192))</f>
        <v/>
      </c>
      <c r="V192" s="41" t="str">
        <f aca="false">IF(OR(K192="",G192=""),"",IF(S192+T192&lt;=Settings!$B$8,Settings!$B$6,Settings!$B$7))</f>
        <v/>
      </c>
      <c r="W192" s="41" t="str">
        <f aca="false">IF(OR(K192="",G192=""),"",S192*IF(UPPER(O192)="Y",Settings!$B$9,0))</f>
        <v/>
      </c>
      <c r="X192" s="41" t="str">
        <f aca="false">IF(OR(K192="",G192=""),"",(S192+T192)*IF(M192="",Settings!$B$11,M192))</f>
        <v/>
      </c>
      <c r="Y192" s="41" t="str">
        <f aca="false">IF(OR(K192="",G192=""),"",U192+V192+W192+X192)</f>
        <v/>
      </c>
      <c r="Z192" s="41" t="str">
        <f aca="false">IF(OR(K192="",G192=""),"",S192-Y192)</f>
        <v/>
      </c>
      <c r="AA192" s="41" t="str">
        <f aca="false">IF(OR(K192="",G192=""),"",Z192*Settings!$B$12)</f>
        <v/>
      </c>
      <c r="AB192" s="41" t="str">
        <f aca="false">IF(OR(K192="",G192=""),"",S192*Settings!$B$13)</f>
        <v/>
      </c>
      <c r="AC192" s="44" t="str">
        <f aca="false">IF(OR(K192="",G192=""),"",Z192-AA192-AB192-J192)</f>
        <v/>
      </c>
      <c r="AD192" s="45" t="str">
        <f aca="false">IF(OR(K192="",G192=""),"",AC192*Settings!$B$14)</f>
        <v/>
      </c>
      <c r="AE192" s="43" t="str">
        <f aca="false">IF(OR(K192="",G192=""),"",IF(S192=0,"",AC192/S192))</f>
        <v/>
      </c>
      <c r="AF192" s="43" t="str">
        <f aca="false">IF(OR(K192="",G192=""),"",IF(J192=0,"",AC192/J192))</f>
        <v/>
      </c>
      <c r="AG192" s="41" t="str">
        <f aca="false">IF(OR(K192="",G192=""),"",(J192+V192)/(1-(1+Settings!$B$10)*(IF(N192="",Settings!$B$5,N192)+IF(M192="",Settings!$B$11,M192))-IF(UPPER(O192)="Y",Settings!$B$9,0)-Settings!$B$13-Settings!$B$12)-N(L192))</f>
        <v/>
      </c>
      <c r="AH192" s="41" t="str">
        <f aca="false">IF(OR(K192="",G192=""),"",(J192+V192+Settings!$B$15)/(1-(1+Settings!$B$10)*(IF(N192="",Settings!$B$5,N192)+IF(M192="",Settings!$B$11,M192))-IF(UPPER(O192)="Y",Settings!$B$9,0)-Settings!$B$13-Settings!$B$12)-N(L192))</f>
        <v/>
      </c>
      <c r="AI192" s="46" t="str">
        <f aca="false">IF(C192="","",IF(OR(ISNUMBER(SEARCH("amazon",C192)),ISNUMBER(SEARCH("walmart",C192)),ISNUMBER(SEARCH("aliexpress",C192)),ISNUMBER(SEARCH("temu",C192))),"⚠ Retail source — not allowed","✓ Wholesale / own stock"))</f>
        <v/>
      </c>
      <c r="AJ192" s="47" t="str">
        <f aca="false">IF(OR(K192="",G192=""),"",IF(LEFT(AI192,1)="⚠","❌ SKIP",IF(AND(AC192&gt;=Settings!$B$15,AF192&gt;=Settings!$B$16,OR(R192="",N(R192)&gt;=Settings!$B$17)),"✅ GO",IF(AC192&gt;0,"⚠ CHECK","❌ SKIP"))))</f>
        <v/>
      </c>
      <c r="AK192" s="38"/>
    </row>
    <row r="193" customFormat="false" ht="15" hidden="false" customHeight="false" outlineLevel="0" collapsed="false">
      <c r="A193" s="37" t="str">
        <f aca="false">IF(B193="","",ROW()-4)</f>
        <v/>
      </c>
      <c r="B193" s="38"/>
      <c r="C193" s="39"/>
      <c r="D193" s="38"/>
      <c r="E193" s="38"/>
      <c r="F193" s="38"/>
      <c r="G193" s="40"/>
      <c r="H193" s="40"/>
      <c r="I193" s="40"/>
      <c r="J193" s="41" t="str">
        <f aca="false">IF(G193="","",G193+N(H193)+N(I193))</f>
        <v/>
      </c>
      <c r="K193" s="40"/>
      <c r="L193" s="40"/>
      <c r="M193" s="42"/>
      <c r="N193" s="42"/>
      <c r="O193" s="39"/>
      <c r="P193" s="38"/>
      <c r="Q193" s="38"/>
      <c r="R193" s="43" t="str">
        <f aca="false">IF(OR(P193="",Q193=""),"",P193/(P193+Q193))</f>
        <v/>
      </c>
      <c r="S193" s="41" t="str">
        <f aca="false">IF(OR(K193="",G193=""),"",K193+N(L193))</f>
        <v/>
      </c>
      <c r="T193" s="41" t="str">
        <f aca="false">IF(OR(K193="",G193=""),"",S193*Settings!$B$10)</f>
        <v/>
      </c>
      <c r="U193" s="41" t="str">
        <f aca="false">IF(OR(K193="",G193=""),"",(S193+T193)*IF(N193="",Settings!$B$5,N193))</f>
        <v/>
      </c>
      <c r="V193" s="41" t="str">
        <f aca="false">IF(OR(K193="",G193=""),"",IF(S193+T193&lt;=Settings!$B$8,Settings!$B$6,Settings!$B$7))</f>
        <v/>
      </c>
      <c r="W193" s="41" t="str">
        <f aca="false">IF(OR(K193="",G193=""),"",S193*IF(UPPER(O193)="Y",Settings!$B$9,0))</f>
        <v/>
      </c>
      <c r="X193" s="41" t="str">
        <f aca="false">IF(OR(K193="",G193=""),"",(S193+T193)*IF(M193="",Settings!$B$11,M193))</f>
        <v/>
      </c>
      <c r="Y193" s="41" t="str">
        <f aca="false">IF(OR(K193="",G193=""),"",U193+V193+W193+X193)</f>
        <v/>
      </c>
      <c r="Z193" s="41" t="str">
        <f aca="false">IF(OR(K193="",G193=""),"",S193-Y193)</f>
        <v/>
      </c>
      <c r="AA193" s="41" t="str">
        <f aca="false">IF(OR(K193="",G193=""),"",Z193*Settings!$B$12)</f>
        <v/>
      </c>
      <c r="AB193" s="41" t="str">
        <f aca="false">IF(OR(K193="",G193=""),"",S193*Settings!$B$13)</f>
        <v/>
      </c>
      <c r="AC193" s="44" t="str">
        <f aca="false">IF(OR(K193="",G193=""),"",Z193-AA193-AB193-J193)</f>
        <v/>
      </c>
      <c r="AD193" s="45" t="str">
        <f aca="false">IF(OR(K193="",G193=""),"",AC193*Settings!$B$14)</f>
        <v/>
      </c>
      <c r="AE193" s="43" t="str">
        <f aca="false">IF(OR(K193="",G193=""),"",IF(S193=0,"",AC193/S193))</f>
        <v/>
      </c>
      <c r="AF193" s="43" t="str">
        <f aca="false">IF(OR(K193="",G193=""),"",IF(J193=0,"",AC193/J193))</f>
        <v/>
      </c>
      <c r="AG193" s="41" t="str">
        <f aca="false">IF(OR(K193="",G193=""),"",(J193+V193)/(1-(1+Settings!$B$10)*(IF(N193="",Settings!$B$5,N193)+IF(M193="",Settings!$B$11,M193))-IF(UPPER(O193)="Y",Settings!$B$9,0)-Settings!$B$13-Settings!$B$12)-N(L193))</f>
        <v/>
      </c>
      <c r="AH193" s="41" t="str">
        <f aca="false">IF(OR(K193="",G193=""),"",(J193+V193+Settings!$B$15)/(1-(1+Settings!$B$10)*(IF(N193="",Settings!$B$5,N193)+IF(M193="",Settings!$B$11,M193))-IF(UPPER(O193)="Y",Settings!$B$9,0)-Settings!$B$13-Settings!$B$12)-N(L193))</f>
        <v/>
      </c>
      <c r="AI193" s="46" t="str">
        <f aca="false">IF(C193="","",IF(OR(ISNUMBER(SEARCH("amazon",C193)),ISNUMBER(SEARCH("walmart",C193)),ISNUMBER(SEARCH("aliexpress",C193)),ISNUMBER(SEARCH("temu",C193))),"⚠ Retail source — not allowed","✓ Wholesale / own stock"))</f>
        <v/>
      </c>
      <c r="AJ193" s="47" t="str">
        <f aca="false">IF(OR(K193="",G193=""),"",IF(LEFT(AI193,1)="⚠","❌ SKIP",IF(AND(AC193&gt;=Settings!$B$15,AF193&gt;=Settings!$B$16,OR(R193="",N(R193)&gt;=Settings!$B$17)),"✅ GO",IF(AC193&gt;0,"⚠ CHECK","❌ SKIP"))))</f>
        <v/>
      </c>
      <c r="AK193" s="38"/>
    </row>
    <row r="194" customFormat="false" ht="15" hidden="false" customHeight="false" outlineLevel="0" collapsed="false">
      <c r="A194" s="37" t="str">
        <f aca="false">IF(B194="","",ROW()-4)</f>
        <v/>
      </c>
      <c r="B194" s="38"/>
      <c r="C194" s="39"/>
      <c r="D194" s="38"/>
      <c r="E194" s="38"/>
      <c r="F194" s="38"/>
      <c r="G194" s="40"/>
      <c r="H194" s="40"/>
      <c r="I194" s="40"/>
      <c r="J194" s="41" t="str">
        <f aca="false">IF(G194="","",G194+N(H194)+N(I194))</f>
        <v/>
      </c>
      <c r="K194" s="40"/>
      <c r="L194" s="40"/>
      <c r="M194" s="42"/>
      <c r="N194" s="42"/>
      <c r="O194" s="39"/>
      <c r="P194" s="38"/>
      <c r="Q194" s="38"/>
      <c r="R194" s="43" t="str">
        <f aca="false">IF(OR(P194="",Q194=""),"",P194/(P194+Q194))</f>
        <v/>
      </c>
      <c r="S194" s="41" t="str">
        <f aca="false">IF(OR(K194="",G194=""),"",K194+N(L194))</f>
        <v/>
      </c>
      <c r="T194" s="41" t="str">
        <f aca="false">IF(OR(K194="",G194=""),"",S194*Settings!$B$10)</f>
        <v/>
      </c>
      <c r="U194" s="41" t="str">
        <f aca="false">IF(OR(K194="",G194=""),"",(S194+T194)*IF(N194="",Settings!$B$5,N194))</f>
        <v/>
      </c>
      <c r="V194" s="41" t="str">
        <f aca="false">IF(OR(K194="",G194=""),"",IF(S194+T194&lt;=Settings!$B$8,Settings!$B$6,Settings!$B$7))</f>
        <v/>
      </c>
      <c r="W194" s="41" t="str">
        <f aca="false">IF(OR(K194="",G194=""),"",S194*IF(UPPER(O194)="Y",Settings!$B$9,0))</f>
        <v/>
      </c>
      <c r="X194" s="41" t="str">
        <f aca="false">IF(OR(K194="",G194=""),"",(S194+T194)*IF(M194="",Settings!$B$11,M194))</f>
        <v/>
      </c>
      <c r="Y194" s="41" t="str">
        <f aca="false">IF(OR(K194="",G194=""),"",U194+V194+W194+X194)</f>
        <v/>
      </c>
      <c r="Z194" s="41" t="str">
        <f aca="false">IF(OR(K194="",G194=""),"",S194-Y194)</f>
        <v/>
      </c>
      <c r="AA194" s="41" t="str">
        <f aca="false">IF(OR(K194="",G194=""),"",Z194*Settings!$B$12)</f>
        <v/>
      </c>
      <c r="AB194" s="41" t="str">
        <f aca="false">IF(OR(K194="",G194=""),"",S194*Settings!$B$13)</f>
        <v/>
      </c>
      <c r="AC194" s="44" t="str">
        <f aca="false">IF(OR(K194="",G194=""),"",Z194-AA194-AB194-J194)</f>
        <v/>
      </c>
      <c r="AD194" s="45" t="str">
        <f aca="false">IF(OR(K194="",G194=""),"",AC194*Settings!$B$14)</f>
        <v/>
      </c>
      <c r="AE194" s="43" t="str">
        <f aca="false">IF(OR(K194="",G194=""),"",IF(S194=0,"",AC194/S194))</f>
        <v/>
      </c>
      <c r="AF194" s="43" t="str">
        <f aca="false">IF(OR(K194="",G194=""),"",IF(J194=0,"",AC194/J194))</f>
        <v/>
      </c>
      <c r="AG194" s="41" t="str">
        <f aca="false">IF(OR(K194="",G194=""),"",(J194+V194)/(1-(1+Settings!$B$10)*(IF(N194="",Settings!$B$5,N194)+IF(M194="",Settings!$B$11,M194))-IF(UPPER(O194)="Y",Settings!$B$9,0)-Settings!$B$13-Settings!$B$12)-N(L194))</f>
        <v/>
      </c>
      <c r="AH194" s="41" t="str">
        <f aca="false">IF(OR(K194="",G194=""),"",(J194+V194+Settings!$B$15)/(1-(1+Settings!$B$10)*(IF(N194="",Settings!$B$5,N194)+IF(M194="",Settings!$B$11,M194))-IF(UPPER(O194)="Y",Settings!$B$9,0)-Settings!$B$13-Settings!$B$12)-N(L194))</f>
        <v/>
      </c>
      <c r="AI194" s="46" t="str">
        <f aca="false">IF(C194="","",IF(OR(ISNUMBER(SEARCH("amazon",C194)),ISNUMBER(SEARCH("walmart",C194)),ISNUMBER(SEARCH("aliexpress",C194)),ISNUMBER(SEARCH("temu",C194))),"⚠ Retail source — not allowed","✓ Wholesale / own stock"))</f>
        <v/>
      </c>
      <c r="AJ194" s="47" t="str">
        <f aca="false">IF(OR(K194="",G194=""),"",IF(LEFT(AI194,1)="⚠","❌ SKIP",IF(AND(AC194&gt;=Settings!$B$15,AF194&gt;=Settings!$B$16,OR(R194="",N(R194)&gt;=Settings!$B$17)),"✅ GO",IF(AC194&gt;0,"⚠ CHECK","❌ SKIP"))))</f>
        <v/>
      </c>
      <c r="AK194" s="38"/>
    </row>
    <row r="195" customFormat="false" ht="15" hidden="false" customHeight="false" outlineLevel="0" collapsed="false">
      <c r="A195" s="37" t="str">
        <f aca="false">IF(B195="","",ROW()-4)</f>
        <v/>
      </c>
      <c r="B195" s="38"/>
      <c r="C195" s="39"/>
      <c r="D195" s="38"/>
      <c r="E195" s="38"/>
      <c r="F195" s="38"/>
      <c r="G195" s="40"/>
      <c r="H195" s="40"/>
      <c r="I195" s="40"/>
      <c r="J195" s="41" t="str">
        <f aca="false">IF(G195="","",G195+N(H195)+N(I195))</f>
        <v/>
      </c>
      <c r="K195" s="40"/>
      <c r="L195" s="40"/>
      <c r="M195" s="42"/>
      <c r="N195" s="42"/>
      <c r="O195" s="39"/>
      <c r="P195" s="38"/>
      <c r="Q195" s="38"/>
      <c r="R195" s="43" t="str">
        <f aca="false">IF(OR(P195="",Q195=""),"",P195/(P195+Q195))</f>
        <v/>
      </c>
      <c r="S195" s="41" t="str">
        <f aca="false">IF(OR(K195="",G195=""),"",K195+N(L195))</f>
        <v/>
      </c>
      <c r="T195" s="41" t="str">
        <f aca="false">IF(OR(K195="",G195=""),"",S195*Settings!$B$10)</f>
        <v/>
      </c>
      <c r="U195" s="41" t="str">
        <f aca="false">IF(OR(K195="",G195=""),"",(S195+T195)*IF(N195="",Settings!$B$5,N195))</f>
        <v/>
      </c>
      <c r="V195" s="41" t="str">
        <f aca="false">IF(OR(K195="",G195=""),"",IF(S195+T195&lt;=Settings!$B$8,Settings!$B$6,Settings!$B$7))</f>
        <v/>
      </c>
      <c r="W195" s="41" t="str">
        <f aca="false">IF(OR(K195="",G195=""),"",S195*IF(UPPER(O195)="Y",Settings!$B$9,0))</f>
        <v/>
      </c>
      <c r="X195" s="41" t="str">
        <f aca="false">IF(OR(K195="",G195=""),"",(S195+T195)*IF(M195="",Settings!$B$11,M195))</f>
        <v/>
      </c>
      <c r="Y195" s="41" t="str">
        <f aca="false">IF(OR(K195="",G195=""),"",U195+V195+W195+X195)</f>
        <v/>
      </c>
      <c r="Z195" s="41" t="str">
        <f aca="false">IF(OR(K195="",G195=""),"",S195-Y195)</f>
        <v/>
      </c>
      <c r="AA195" s="41" t="str">
        <f aca="false">IF(OR(K195="",G195=""),"",Z195*Settings!$B$12)</f>
        <v/>
      </c>
      <c r="AB195" s="41" t="str">
        <f aca="false">IF(OR(K195="",G195=""),"",S195*Settings!$B$13)</f>
        <v/>
      </c>
      <c r="AC195" s="44" t="str">
        <f aca="false">IF(OR(K195="",G195=""),"",Z195-AA195-AB195-J195)</f>
        <v/>
      </c>
      <c r="AD195" s="45" t="str">
        <f aca="false">IF(OR(K195="",G195=""),"",AC195*Settings!$B$14)</f>
        <v/>
      </c>
      <c r="AE195" s="43" t="str">
        <f aca="false">IF(OR(K195="",G195=""),"",IF(S195=0,"",AC195/S195))</f>
        <v/>
      </c>
      <c r="AF195" s="43" t="str">
        <f aca="false">IF(OR(K195="",G195=""),"",IF(J195=0,"",AC195/J195))</f>
        <v/>
      </c>
      <c r="AG195" s="41" t="str">
        <f aca="false">IF(OR(K195="",G195=""),"",(J195+V195)/(1-(1+Settings!$B$10)*(IF(N195="",Settings!$B$5,N195)+IF(M195="",Settings!$B$11,M195))-IF(UPPER(O195)="Y",Settings!$B$9,0)-Settings!$B$13-Settings!$B$12)-N(L195))</f>
        <v/>
      </c>
      <c r="AH195" s="41" t="str">
        <f aca="false">IF(OR(K195="",G195=""),"",(J195+V195+Settings!$B$15)/(1-(1+Settings!$B$10)*(IF(N195="",Settings!$B$5,N195)+IF(M195="",Settings!$B$11,M195))-IF(UPPER(O195)="Y",Settings!$B$9,0)-Settings!$B$13-Settings!$B$12)-N(L195))</f>
        <v/>
      </c>
      <c r="AI195" s="46" t="str">
        <f aca="false">IF(C195="","",IF(OR(ISNUMBER(SEARCH("amazon",C195)),ISNUMBER(SEARCH("walmart",C195)),ISNUMBER(SEARCH("aliexpress",C195)),ISNUMBER(SEARCH("temu",C195))),"⚠ Retail source — not allowed","✓ Wholesale / own stock"))</f>
        <v/>
      </c>
      <c r="AJ195" s="47" t="str">
        <f aca="false">IF(OR(K195="",G195=""),"",IF(LEFT(AI195,1)="⚠","❌ SKIP",IF(AND(AC195&gt;=Settings!$B$15,AF195&gt;=Settings!$B$16,OR(R195="",N(R195)&gt;=Settings!$B$17)),"✅ GO",IF(AC195&gt;0,"⚠ CHECK","❌ SKIP"))))</f>
        <v/>
      </c>
      <c r="AK195" s="38"/>
    </row>
    <row r="196" customFormat="false" ht="15" hidden="false" customHeight="false" outlineLevel="0" collapsed="false">
      <c r="A196" s="37" t="str">
        <f aca="false">IF(B196="","",ROW()-4)</f>
        <v/>
      </c>
      <c r="B196" s="38"/>
      <c r="C196" s="39"/>
      <c r="D196" s="38"/>
      <c r="E196" s="38"/>
      <c r="F196" s="38"/>
      <c r="G196" s="40"/>
      <c r="H196" s="40"/>
      <c r="I196" s="40"/>
      <c r="J196" s="41" t="str">
        <f aca="false">IF(G196="","",G196+N(H196)+N(I196))</f>
        <v/>
      </c>
      <c r="K196" s="40"/>
      <c r="L196" s="40"/>
      <c r="M196" s="42"/>
      <c r="N196" s="42"/>
      <c r="O196" s="39"/>
      <c r="P196" s="38"/>
      <c r="Q196" s="38"/>
      <c r="R196" s="43" t="str">
        <f aca="false">IF(OR(P196="",Q196=""),"",P196/(P196+Q196))</f>
        <v/>
      </c>
      <c r="S196" s="41" t="str">
        <f aca="false">IF(OR(K196="",G196=""),"",K196+N(L196))</f>
        <v/>
      </c>
      <c r="T196" s="41" t="str">
        <f aca="false">IF(OR(K196="",G196=""),"",S196*Settings!$B$10)</f>
        <v/>
      </c>
      <c r="U196" s="41" t="str">
        <f aca="false">IF(OR(K196="",G196=""),"",(S196+T196)*IF(N196="",Settings!$B$5,N196))</f>
        <v/>
      </c>
      <c r="V196" s="41" t="str">
        <f aca="false">IF(OR(K196="",G196=""),"",IF(S196+T196&lt;=Settings!$B$8,Settings!$B$6,Settings!$B$7))</f>
        <v/>
      </c>
      <c r="W196" s="41" t="str">
        <f aca="false">IF(OR(K196="",G196=""),"",S196*IF(UPPER(O196)="Y",Settings!$B$9,0))</f>
        <v/>
      </c>
      <c r="X196" s="41" t="str">
        <f aca="false">IF(OR(K196="",G196=""),"",(S196+T196)*IF(M196="",Settings!$B$11,M196))</f>
        <v/>
      </c>
      <c r="Y196" s="41" t="str">
        <f aca="false">IF(OR(K196="",G196=""),"",U196+V196+W196+X196)</f>
        <v/>
      </c>
      <c r="Z196" s="41" t="str">
        <f aca="false">IF(OR(K196="",G196=""),"",S196-Y196)</f>
        <v/>
      </c>
      <c r="AA196" s="41" t="str">
        <f aca="false">IF(OR(K196="",G196=""),"",Z196*Settings!$B$12)</f>
        <v/>
      </c>
      <c r="AB196" s="41" t="str">
        <f aca="false">IF(OR(K196="",G196=""),"",S196*Settings!$B$13)</f>
        <v/>
      </c>
      <c r="AC196" s="44" t="str">
        <f aca="false">IF(OR(K196="",G196=""),"",Z196-AA196-AB196-J196)</f>
        <v/>
      </c>
      <c r="AD196" s="45" t="str">
        <f aca="false">IF(OR(K196="",G196=""),"",AC196*Settings!$B$14)</f>
        <v/>
      </c>
      <c r="AE196" s="43" t="str">
        <f aca="false">IF(OR(K196="",G196=""),"",IF(S196=0,"",AC196/S196))</f>
        <v/>
      </c>
      <c r="AF196" s="43" t="str">
        <f aca="false">IF(OR(K196="",G196=""),"",IF(J196=0,"",AC196/J196))</f>
        <v/>
      </c>
      <c r="AG196" s="41" t="str">
        <f aca="false">IF(OR(K196="",G196=""),"",(J196+V196)/(1-(1+Settings!$B$10)*(IF(N196="",Settings!$B$5,N196)+IF(M196="",Settings!$B$11,M196))-IF(UPPER(O196)="Y",Settings!$B$9,0)-Settings!$B$13-Settings!$B$12)-N(L196))</f>
        <v/>
      </c>
      <c r="AH196" s="41" t="str">
        <f aca="false">IF(OR(K196="",G196=""),"",(J196+V196+Settings!$B$15)/(1-(1+Settings!$B$10)*(IF(N196="",Settings!$B$5,N196)+IF(M196="",Settings!$B$11,M196))-IF(UPPER(O196)="Y",Settings!$B$9,0)-Settings!$B$13-Settings!$B$12)-N(L196))</f>
        <v/>
      </c>
      <c r="AI196" s="46" t="str">
        <f aca="false">IF(C196="","",IF(OR(ISNUMBER(SEARCH("amazon",C196)),ISNUMBER(SEARCH("walmart",C196)),ISNUMBER(SEARCH("aliexpress",C196)),ISNUMBER(SEARCH("temu",C196))),"⚠ Retail source — not allowed","✓ Wholesale / own stock"))</f>
        <v/>
      </c>
      <c r="AJ196" s="47" t="str">
        <f aca="false">IF(OR(K196="",G196=""),"",IF(LEFT(AI196,1)="⚠","❌ SKIP",IF(AND(AC196&gt;=Settings!$B$15,AF196&gt;=Settings!$B$16,OR(R196="",N(R196)&gt;=Settings!$B$17)),"✅ GO",IF(AC196&gt;0,"⚠ CHECK","❌ SKIP"))))</f>
        <v/>
      </c>
      <c r="AK196" s="38"/>
    </row>
    <row r="197" customFormat="false" ht="15" hidden="false" customHeight="false" outlineLevel="0" collapsed="false">
      <c r="A197" s="37" t="str">
        <f aca="false">IF(B197="","",ROW()-4)</f>
        <v/>
      </c>
      <c r="B197" s="38"/>
      <c r="C197" s="39"/>
      <c r="D197" s="38"/>
      <c r="E197" s="38"/>
      <c r="F197" s="38"/>
      <c r="G197" s="40"/>
      <c r="H197" s="40"/>
      <c r="I197" s="40"/>
      <c r="J197" s="41" t="str">
        <f aca="false">IF(G197="","",G197+N(H197)+N(I197))</f>
        <v/>
      </c>
      <c r="K197" s="40"/>
      <c r="L197" s="40"/>
      <c r="M197" s="42"/>
      <c r="N197" s="42"/>
      <c r="O197" s="39"/>
      <c r="P197" s="38"/>
      <c r="Q197" s="38"/>
      <c r="R197" s="43" t="str">
        <f aca="false">IF(OR(P197="",Q197=""),"",P197/(P197+Q197))</f>
        <v/>
      </c>
      <c r="S197" s="41" t="str">
        <f aca="false">IF(OR(K197="",G197=""),"",K197+N(L197))</f>
        <v/>
      </c>
      <c r="T197" s="41" t="str">
        <f aca="false">IF(OR(K197="",G197=""),"",S197*Settings!$B$10)</f>
        <v/>
      </c>
      <c r="U197" s="41" t="str">
        <f aca="false">IF(OR(K197="",G197=""),"",(S197+T197)*IF(N197="",Settings!$B$5,N197))</f>
        <v/>
      </c>
      <c r="V197" s="41" t="str">
        <f aca="false">IF(OR(K197="",G197=""),"",IF(S197+T197&lt;=Settings!$B$8,Settings!$B$6,Settings!$B$7))</f>
        <v/>
      </c>
      <c r="W197" s="41" t="str">
        <f aca="false">IF(OR(K197="",G197=""),"",S197*IF(UPPER(O197)="Y",Settings!$B$9,0))</f>
        <v/>
      </c>
      <c r="X197" s="41" t="str">
        <f aca="false">IF(OR(K197="",G197=""),"",(S197+T197)*IF(M197="",Settings!$B$11,M197))</f>
        <v/>
      </c>
      <c r="Y197" s="41" t="str">
        <f aca="false">IF(OR(K197="",G197=""),"",U197+V197+W197+X197)</f>
        <v/>
      </c>
      <c r="Z197" s="41" t="str">
        <f aca="false">IF(OR(K197="",G197=""),"",S197-Y197)</f>
        <v/>
      </c>
      <c r="AA197" s="41" t="str">
        <f aca="false">IF(OR(K197="",G197=""),"",Z197*Settings!$B$12)</f>
        <v/>
      </c>
      <c r="AB197" s="41" t="str">
        <f aca="false">IF(OR(K197="",G197=""),"",S197*Settings!$B$13)</f>
        <v/>
      </c>
      <c r="AC197" s="44" t="str">
        <f aca="false">IF(OR(K197="",G197=""),"",Z197-AA197-AB197-J197)</f>
        <v/>
      </c>
      <c r="AD197" s="45" t="str">
        <f aca="false">IF(OR(K197="",G197=""),"",AC197*Settings!$B$14)</f>
        <v/>
      </c>
      <c r="AE197" s="43" t="str">
        <f aca="false">IF(OR(K197="",G197=""),"",IF(S197=0,"",AC197/S197))</f>
        <v/>
      </c>
      <c r="AF197" s="43" t="str">
        <f aca="false">IF(OR(K197="",G197=""),"",IF(J197=0,"",AC197/J197))</f>
        <v/>
      </c>
      <c r="AG197" s="41" t="str">
        <f aca="false">IF(OR(K197="",G197=""),"",(J197+V197)/(1-(1+Settings!$B$10)*(IF(N197="",Settings!$B$5,N197)+IF(M197="",Settings!$B$11,M197))-IF(UPPER(O197)="Y",Settings!$B$9,0)-Settings!$B$13-Settings!$B$12)-N(L197))</f>
        <v/>
      </c>
      <c r="AH197" s="41" t="str">
        <f aca="false">IF(OR(K197="",G197=""),"",(J197+V197+Settings!$B$15)/(1-(1+Settings!$B$10)*(IF(N197="",Settings!$B$5,N197)+IF(M197="",Settings!$B$11,M197))-IF(UPPER(O197)="Y",Settings!$B$9,0)-Settings!$B$13-Settings!$B$12)-N(L197))</f>
        <v/>
      </c>
      <c r="AI197" s="46" t="str">
        <f aca="false">IF(C197="","",IF(OR(ISNUMBER(SEARCH("amazon",C197)),ISNUMBER(SEARCH("walmart",C197)),ISNUMBER(SEARCH("aliexpress",C197)),ISNUMBER(SEARCH("temu",C197))),"⚠ Retail source — not allowed","✓ Wholesale / own stock"))</f>
        <v/>
      </c>
      <c r="AJ197" s="47" t="str">
        <f aca="false">IF(OR(K197="",G197=""),"",IF(LEFT(AI197,1)="⚠","❌ SKIP",IF(AND(AC197&gt;=Settings!$B$15,AF197&gt;=Settings!$B$16,OR(R197="",N(R197)&gt;=Settings!$B$17)),"✅ GO",IF(AC197&gt;0,"⚠ CHECK","❌ SKIP"))))</f>
        <v/>
      </c>
      <c r="AK197" s="38"/>
    </row>
    <row r="198" customFormat="false" ht="15" hidden="false" customHeight="false" outlineLevel="0" collapsed="false">
      <c r="A198" s="37" t="str">
        <f aca="false">IF(B198="","",ROW()-4)</f>
        <v/>
      </c>
      <c r="B198" s="38"/>
      <c r="C198" s="39"/>
      <c r="D198" s="38"/>
      <c r="E198" s="38"/>
      <c r="F198" s="38"/>
      <c r="G198" s="40"/>
      <c r="H198" s="40"/>
      <c r="I198" s="40"/>
      <c r="J198" s="41" t="str">
        <f aca="false">IF(G198="","",G198+N(H198)+N(I198))</f>
        <v/>
      </c>
      <c r="K198" s="40"/>
      <c r="L198" s="40"/>
      <c r="M198" s="42"/>
      <c r="N198" s="42"/>
      <c r="O198" s="39"/>
      <c r="P198" s="38"/>
      <c r="Q198" s="38"/>
      <c r="R198" s="43" t="str">
        <f aca="false">IF(OR(P198="",Q198=""),"",P198/(P198+Q198))</f>
        <v/>
      </c>
      <c r="S198" s="41" t="str">
        <f aca="false">IF(OR(K198="",G198=""),"",K198+N(L198))</f>
        <v/>
      </c>
      <c r="T198" s="41" t="str">
        <f aca="false">IF(OR(K198="",G198=""),"",S198*Settings!$B$10)</f>
        <v/>
      </c>
      <c r="U198" s="41" t="str">
        <f aca="false">IF(OR(K198="",G198=""),"",(S198+T198)*IF(N198="",Settings!$B$5,N198))</f>
        <v/>
      </c>
      <c r="V198" s="41" t="str">
        <f aca="false">IF(OR(K198="",G198=""),"",IF(S198+T198&lt;=Settings!$B$8,Settings!$B$6,Settings!$B$7))</f>
        <v/>
      </c>
      <c r="W198" s="41" t="str">
        <f aca="false">IF(OR(K198="",G198=""),"",S198*IF(UPPER(O198)="Y",Settings!$B$9,0))</f>
        <v/>
      </c>
      <c r="X198" s="41" t="str">
        <f aca="false">IF(OR(K198="",G198=""),"",(S198+T198)*IF(M198="",Settings!$B$11,M198))</f>
        <v/>
      </c>
      <c r="Y198" s="41" t="str">
        <f aca="false">IF(OR(K198="",G198=""),"",U198+V198+W198+X198)</f>
        <v/>
      </c>
      <c r="Z198" s="41" t="str">
        <f aca="false">IF(OR(K198="",G198=""),"",S198-Y198)</f>
        <v/>
      </c>
      <c r="AA198" s="41" t="str">
        <f aca="false">IF(OR(K198="",G198=""),"",Z198*Settings!$B$12)</f>
        <v/>
      </c>
      <c r="AB198" s="41" t="str">
        <f aca="false">IF(OR(K198="",G198=""),"",S198*Settings!$B$13)</f>
        <v/>
      </c>
      <c r="AC198" s="44" t="str">
        <f aca="false">IF(OR(K198="",G198=""),"",Z198-AA198-AB198-J198)</f>
        <v/>
      </c>
      <c r="AD198" s="45" t="str">
        <f aca="false">IF(OR(K198="",G198=""),"",AC198*Settings!$B$14)</f>
        <v/>
      </c>
      <c r="AE198" s="43" t="str">
        <f aca="false">IF(OR(K198="",G198=""),"",IF(S198=0,"",AC198/S198))</f>
        <v/>
      </c>
      <c r="AF198" s="43" t="str">
        <f aca="false">IF(OR(K198="",G198=""),"",IF(J198=0,"",AC198/J198))</f>
        <v/>
      </c>
      <c r="AG198" s="41" t="str">
        <f aca="false">IF(OR(K198="",G198=""),"",(J198+V198)/(1-(1+Settings!$B$10)*(IF(N198="",Settings!$B$5,N198)+IF(M198="",Settings!$B$11,M198))-IF(UPPER(O198)="Y",Settings!$B$9,0)-Settings!$B$13-Settings!$B$12)-N(L198))</f>
        <v/>
      </c>
      <c r="AH198" s="41" t="str">
        <f aca="false">IF(OR(K198="",G198=""),"",(J198+V198+Settings!$B$15)/(1-(1+Settings!$B$10)*(IF(N198="",Settings!$B$5,N198)+IF(M198="",Settings!$B$11,M198))-IF(UPPER(O198)="Y",Settings!$B$9,0)-Settings!$B$13-Settings!$B$12)-N(L198))</f>
        <v/>
      </c>
      <c r="AI198" s="46" t="str">
        <f aca="false">IF(C198="","",IF(OR(ISNUMBER(SEARCH("amazon",C198)),ISNUMBER(SEARCH("walmart",C198)),ISNUMBER(SEARCH("aliexpress",C198)),ISNUMBER(SEARCH("temu",C198))),"⚠ Retail source — not allowed","✓ Wholesale / own stock"))</f>
        <v/>
      </c>
      <c r="AJ198" s="47" t="str">
        <f aca="false">IF(OR(K198="",G198=""),"",IF(LEFT(AI198,1)="⚠","❌ SKIP",IF(AND(AC198&gt;=Settings!$B$15,AF198&gt;=Settings!$B$16,OR(R198="",N(R198)&gt;=Settings!$B$17)),"✅ GO",IF(AC198&gt;0,"⚠ CHECK","❌ SKIP"))))</f>
        <v/>
      </c>
      <c r="AK198" s="38"/>
    </row>
    <row r="199" customFormat="false" ht="15" hidden="false" customHeight="false" outlineLevel="0" collapsed="false">
      <c r="A199" s="37" t="str">
        <f aca="false">IF(B199="","",ROW()-4)</f>
        <v/>
      </c>
      <c r="B199" s="38"/>
      <c r="C199" s="39"/>
      <c r="D199" s="38"/>
      <c r="E199" s="38"/>
      <c r="F199" s="38"/>
      <c r="G199" s="40"/>
      <c r="H199" s="40"/>
      <c r="I199" s="40"/>
      <c r="J199" s="41" t="str">
        <f aca="false">IF(G199="","",G199+N(H199)+N(I199))</f>
        <v/>
      </c>
      <c r="K199" s="40"/>
      <c r="L199" s="40"/>
      <c r="M199" s="42"/>
      <c r="N199" s="42"/>
      <c r="O199" s="39"/>
      <c r="P199" s="38"/>
      <c r="Q199" s="38"/>
      <c r="R199" s="43" t="str">
        <f aca="false">IF(OR(P199="",Q199=""),"",P199/(P199+Q199))</f>
        <v/>
      </c>
      <c r="S199" s="41" t="str">
        <f aca="false">IF(OR(K199="",G199=""),"",K199+N(L199))</f>
        <v/>
      </c>
      <c r="T199" s="41" t="str">
        <f aca="false">IF(OR(K199="",G199=""),"",S199*Settings!$B$10)</f>
        <v/>
      </c>
      <c r="U199" s="41" t="str">
        <f aca="false">IF(OR(K199="",G199=""),"",(S199+T199)*IF(N199="",Settings!$B$5,N199))</f>
        <v/>
      </c>
      <c r="V199" s="41" t="str">
        <f aca="false">IF(OR(K199="",G199=""),"",IF(S199+T199&lt;=Settings!$B$8,Settings!$B$6,Settings!$B$7))</f>
        <v/>
      </c>
      <c r="W199" s="41" t="str">
        <f aca="false">IF(OR(K199="",G199=""),"",S199*IF(UPPER(O199)="Y",Settings!$B$9,0))</f>
        <v/>
      </c>
      <c r="X199" s="41" t="str">
        <f aca="false">IF(OR(K199="",G199=""),"",(S199+T199)*IF(M199="",Settings!$B$11,M199))</f>
        <v/>
      </c>
      <c r="Y199" s="41" t="str">
        <f aca="false">IF(OR(K199="",G199=""),"",U199+V199+W199+X199)</f>
        <v/>
      </c>
      <c r="Z199" s="41" t="str">
        <f aca="false">IF(OR(K199="",G199=""),"",S199-Y199)</f>
        <v/>
      </c>
      <c r="AA199" s="41" t="str">
        <f aca="false">IF(OR(K199="",G199=""),"",Z199*Settings!$B$12)</f>
        <v/>
      </c>
      <c r="AB199" s="41" t="str">
        <f aca="false">IF(OR(K199="",G199=""),"",S199*Settings!$B$13)</f>
        <v/>
      </c>
      <c r="AC199" s="44" t="str">
        <f aca="false">IF(OR(K199="",G199=""),"",Z199-AA199-AB199-J199)</f>
        <v/>
      </c>
      <c r="AD199" s="45" t="str">
        <f aca="false">IF(OR(K199="",G199=""),"",AC199*Settings!$B$14)</f>
        <v/>
      </c>
      <c r="AE199" s="43" t="str">
        <f aca="false">IF(OR(K199="",G199=""),"",IF(S199=0,"",AC199/S199))</f>
        <v/>
      </c>
      <c r="AF199" s="43" t="str">
        <f aca="false">IF(OR(K199="",G199=""),"",IF(J199=0,"",AC199/J199))</f>
        <v/>
      </c>
      <c r="AG199" s="41" t="str">
        <f aca="false">IF(OR(K199="",G199=""),"",(J199+V199)/(1-(1+Settings!$B$10)*(IF(N199="",Settings!$B$5,N199)+IF(M199="",Settings!$B$11,M199))-IF(UPPER(O199)="Y",Settings!$B$9,0)-Settings!$B$13-Settings!$B$12)-N(L199))</f>
        <v/>
      </c>
      <c r="AH199" s="41" t="str">
        <f aca="false">IF(OR(K199="",G199=""),"",(J199+V199+Settings!$B$15)/(1-(1+Settings!$B$10)*(IF(N199="",Settings!$B$5,N199)+IF(M199="",Settings!$B$11,M199))-IF(UPPER(O199)="Y",Settings!$B$9,0)-Settings!$B$13-Settings!$B$12)-N(L199))</f>
        <v/>
      </c>
      <c r="AI199" s="46" t="str">
        <f aca="false">IF(C199="","",IF(OR(ISNUMBER(SEARCH("amazon",C199)),ISNUMBER(SEARCH("walmart",C199)),ISNUMBER(SEARCH("aliexpress",C199)),ISNUMBER(SEARCH("temu",C199))),"⚠ Retail source — not allowed","✓ Wholesale / own stock"))</f>
        <v/>
      </c>
      <c r="AJ199" s="47" t="str">
        <f aca="false">IF(OR(K199="",G199=""),"",IF(LEFT(AI199,1)="⚠","❌ SKIP",IF(AND(AC199&gt;=Settings!$B$15,AF199&gt;=Settings!$B$16,OR(R199="",N(R199)&gt;=Settings!$B$17)),"✅ GO",IF(AC199&gt;0,"⚠ CHECK","❌ SKIP"))))</f>
        <v/>
      </c>
      <c r="AK199" s="38"/>
    </row>
    <row r="200" customFormat="false" ht="15" hidden="false" customHeight="false" outlineLevel="0" collapsed="false">
      <c r="A200" s="37" t="str">
        <f aca="false">IF(B200="","",ROW()-4)</f>
        <v/>
      </c>
      <c r="B200" s="38"/>
      <c r="C200" s="39"/>
      <c r="D200" s="38"/>
      <c r="E200" s="38"/>
      <c r="F200" s="38"/>
      <c r="G200" s="40"/>
      <c r="H200" s="40"/>
      <c r="I200" s="40"/>
      <c r="J200" s="41" t="str">
        <f aca="false">IF(G200="","",G200+N(H200)+N(I200))</f>
        <v/>
      </c>
      <c r="K200" s="40"/>
      <c r="L200" s="40"/>
      <c r="M200" s="42"/>
      <c r="N200" s="42"/>
      <c r="O200" s="39"/>
      <c r="P200" s="38"/>
      <c r="Q200" s="38"/>
      <c r="R200" s="43" t="str">
        <f aca="false">IF(OR(P200="",Q200=""),"",P200/(P200+Q200))</f>
        <v/>
      </c>
      <c r="S200" s="41" t="str">
        <f aca="false">IF(OR(K200="",G200=""),"",K200+N(L200))</f>
        <v/>
      </c>
      <c r="T200" s="41" t="str">
        <f aca="false">IF(OR(K200="",G200=""),"",S200*Settings!$B$10)</f>
        <v/>
      </c>
      <c r="U200" s="41" t="str">
        <f aca="false">IF(OR(K200="",G200=""),"",(S200+T200)*IF(N200="",Settings!$B$5,N200))</f>
        <v/>
      </c>
      <c r="V200" s="41" t="str">
        <f aca="false">IF(OR(K200="",G200=""),"",IF(S200+T200&lt;=Settings!$B$8,Settings!$B$6,Settings!$B$7))</f>
        <v/>
      </c>
      <c r="W200" s="41" t="str">
        <f aca="false">IF(OR(K200="",G200=""),"",S200*IF(UPPER(O200)="Y",Settings!$B$9,0))</f>
        <v/>
      </c>
      <c r="X200" s="41" t="str">
        <f aca="false">IF(OR(K200="",G200=""),"",(S200+T200)*IF(M200="",Settings!$B$11,M200))</f>
        <v/>
      </c>
      <c r="Y200" s="41" t="str">
        <f aca="false">IF(OR(K200="",G200=""),"",U200+V200+W200+X200)</f>
        <v/>
      </c>
      <c r="Z200" s="41" t="str">
        <f aca="false">IF(OR(K200="",G200=""),"",S200-Y200)</f>
        <v/>
      </c>
      <c r="AA200" s="41" t="str">
        <f aca="false">IF(OR(K200="",G200=""),"",Z200*Settings!$B$12)</f>
        <v/>
      </c>
      <c r="AB200" s="41" t="str">
        <f aca="false">IF(OR(K200="",G200=""),"",S200*Settings!$B$13)</f>
        <v/>
      </c>
      <c r="AC200" s="44" t="str">
        <f aca="false">IF(OR(K200="",G200=""),"",Z200-AA200-AB200-J200)</f>
        <v/>
      </c>
      <c r="AD200" s="45" t="str">
        <f aca="false">IF(OR(K200="",G200=""),"",AC200*Settings!$B$14)</f>
        <v/>
      </c>
      <c r="AE200" s="43" t="str">
        <f aca="false">IF(OR(K200="",G200=""),"",IF(S200=0,"",AC200/S200))</f>
        <v/>
      </c>
      <c r="AF200" s="43" t="str">
        <f aca="false">IF(OR(K200="",G200=""),"",IF(J200=0,"",AC200/J200))</f>
        <v/>
      </c>
      <c r="AG200" s="41" t="str">
        <f aca="false">IF(OR(K200="",G200=""),"",(J200+V200)/(1-(1+Settings!$B$10)*(IF(N200="",Settings!$B$5,N200)+IF(M200="",Settings!$B$11,M200))-IF(UPPER(O200)="Y",Settings!$B$9,0)-Settings!$B$13-Settings!$B$12)-N(L200))</f>
        <v/>
      </c>
      <c r="AH200" s="41" t="str">
        <f aca="false">IF(OR(K200="",G200=""),"",(J200+V200+Settings!$B$15)/(1-(1+Settings!$B$10)*(IF(N200="",Settings!$B$5,N200)+IF(M200="",Settings!$B$11,M200))-IF(UPPER(O200)="Y",Settings!$B$9,0)-Settings!$B$13-Settings!$B$12)-N(L200))</f>
        <v/>
      </c>
      <c r="AI200" s="46" t="str">
        <f aca="false">IF(C200="","",IF(OR(ISNUMBER(SEARCH("amazon",C200)),ISNUMBER(SEARCH("walmart",C200)),ISNUMBER(SEARCH("aliexpress",C200)),ISNUMBER(SEARCH("temu",C200))),"⚠ Retail source — not allowed","✓ Wholesale / own stock"))</f>
        <v/>
      </c>
      <c r="AJ200" s="47" t="str">
        <f aca="false">IF(OR(K200="",G200=""),"",IF(LEFT(AI200,1)="⚠","❌ SKIP",IF(AND(AC200&gt;=Settings!$B$15,AF200&gt;=Settings!$B$16,OR(R200="",N(R200)&gt;=Settings!$B$17)),"✅ GO",IF(AC200&gt;0,"⚠ CHECK","❌ SKIP"))))</f>
        <v/>
      </c>
      <c r="AK200" s="38"/>
    </row>
    <row r="201" customFormat="false" ht="15" hidden="false" customHeight="false" outlineLevel="0" collapsed="false">
      <c r="A201" s="37" t="str">
        <f aca="false">IF(B201="","",ROW()-4)</f>
        <v/>
      </c>
      <c r="B201" s="38"/>
      <c r="C201" s="39"/>
      <c r="D201" s="38"/>
      <c r="E201" s="38"/>
      <c r="F201" s="38"/>
      <c r="G201" s="40"/>
      <c r="H201" s="40"/>
      <c r="I201" s="40"/>
      <c r="J201" s="41" t="str">
        <f aca="false">IF(G201="","",G201+N(H201)+N(I201))</f>
        <v/>
      </c>
      <c r="K201" s="40"/>
      <c r="L201" s="40"/>
      <c r="M201" s="42"/>
      <c r="N201" s="42"/>
      <c r="O201" s="39"/>
      <c r="P201" s="38"/>
      <c r="Q201" s="38"/>
      <c r="R201" s="43" t="str">
        <f aca="false">IF(OR(P201="",Q201=""),"",P201/(P201+Q201))</f>
        <v/>
      </c>
      <c r="S201" s="41" t="str">
        <f aca="false">IF(OR(K201="",G201=""),"",K201+N(L201))</f>
        <v/>
      </c>
      <c r="T201" s="41" t="str">
        <f aca="false">IF(OR(K201="",G201=""),"",S201*Settings!$B$10)</f>
        <v/>
      </c>
      <c r="U201" s="41" t="str">
        <f aca="false">IF(OR(K201="",G201=""),"",(S201+T201)*IF(N201="",Settings!$B$5,N201))</f>
        <v/>
      </c>
      <c r="V201" s="41" t="str">
        <f aca="false">IF(OR(K201="",G201=""),"",IF(S201+T201&lt;=Settings!$B$8,Settings!$B$6,Settings!$B$7))</f>
        <v/>
      </c>
      <c r="W201" s="41" t="str">
        <f aca="false">IF(OR(K201="",G201=""),"",S201*IF(UPPER(O201)="Y",Settings!$B$9,0))</f>
        <v/>
      </c>
      <c r="X201" s="41" t="str">
        <f aca="false">IF(OR(K201="",G201=""),"",(S201+T201)*IF(M201="",Settings!$B$11,M201))</f>
        <v/>
      </c>
      <c r="Y201" s="41" t="str">
        <f aca="false">IF(OR(K201="",G201=""),"",U201+V201+W201+X201)</f>
        <v/>
      </c>
      <c r="Z201" s="41" t="str">
        <f aca="false">IF(OR(K201="",G201=""),"",S201-Y201)</f>
        <v/>
      </c>
      <c r="AA201" s="41" t="str">
        <f aca="false">IF(OR(K201="",G201=""),"",Z201*Settings!$B$12)</f>
        <v/>
      </c>
      <c r="AB201" s="41" t="str">
        <f aca="false">IF(OR(K201="",G201=""),"",S201*Settings!$B$13)</f>
        <v/>
      </c>
      <c r="AC201" s="44" t="str">
        <f aca="false">IF(OR(K201="",G201=""),"",Z201-AA201-AB201-J201)</f>
        <v/>
      </c>
      <c r="AD201" s="45" t="str">
        <f aca="false">IF(OR(K201="",G201=""),"",AC201*Settings!$B$14)</f>
        <v/>
      </c>
      <c r="AE201" s="43" t="str">
        <f aca="false">IF(OR(K201="",G201=""),"",IF(S201=0,"",AC201/S201))</f>
        <v/>
      </c>
      <c r="AF201" s="43" t="str">
        <f aca="false">IF(OR(K201="",G201=""),"",IF(J201=0,"",AC201/J201))</f>
        <v/>
      </c>
      <c r="AG201" s="41" t="str">
        <f aca="false">IF(OR(K201="",G201=""),"",(J201+V201)/(1-(1+Settings!$B$10)*(IF(N201="",Settings!$B$5,N201)+IF(M201="",Settings!$B$11,M201))-IF(UPPER(O201)="Y",Settings!$B$9,0)-Settings!$B$13-Settings!$B$12)-N(L201))</f>
        <v/>
      </c>
      <c r="AH201" s="41" t="str">
        <f aca="false">IF(OR(K201="",G201=""),"",(J201+V201+Settings!$B$15)/(1-(1+Settings!$B$10)*(IF(N201="",Settings!$B$5,N201)+IF(M201="",Settings!$B$11,M201))-IF(UPPER(O201)="Y",Settings!$B$9,0)-Settings!$B$13-Settings!$B$12)-N(L201))</f>
        <v/>
      </c>
      <c r="AI201" s="46" t="str">
        <f aca="false">IF(C201="","",IF(OR(ISNUMBER(SEARCH("amazon",C201)),ISNUMBER(SEARCH("walmart",C201)),ISNUMBER(SEARCH("aliexpress",C201)),ISNUMBER(SEARCH("temu",C201))),"⚠ Retail source — not allowed","✓ Wholesale / own stock"))</f>
        <v/>
      </c>
      <c r="AJ201" s="47" t="str">
        <f aca="false">IF(OR(K201="",G201=""),"",IF(LEFT(AI201,1)="⚠","❌ SKIP",IF(AND(AC201&gt;=Settings!$B$15,AF201&gt;=Settings!$B$16,OR(R201="",N(R201)&gt;=Settings!$B$17)),"✅ GO",IF(AC201&gt;0,"⚠ CHECK","❌ SKIP"))))</f>
        <v/>
      </c>
      <c r="AK201" s="38"/>
    </row>
    <row r="202" customFormat="false" ht="15" hidden="false" customHeight="false" outlineLevel="0" collapsed="false">
      <c r="A202" s="37" t="str">
        <f aca="false">IF(B202="","",ROW()-4)</f>
        <v/>
      </c>
      <c r="B202" s="38"/>
      <c r="C202" s="39"/>
      <c r="D202" s="38"/>
      <c r="E202" s="38"/>
      <c r="F202" s="38"/>
      <c r="G202" s="40"/>
      <c r="H202" s="40"/>
      <c r="I202" s="40"/>
      <c r="J202" s="41" t="str">
        <f aca="false">IF(G202="","",G202+N(H202)+N(I202))</f>
        <v/>
      </c>
      <c r="K202" s="40"/>
      <c r="L202" s="40"/>
      <c r="M202" s="42"/>
      <c r="N202" s="42"/>
      <c r="O202" s="39"/>
      <c r="P202" s="38"/>
      <c r="Q202" s="38"/>
      <c r="R202" s="43" t="str">
        <f aca="false">IF(OR(P202="",Q202=""),"",P202/(P202+Q202))</f>
        <v/>
      </c>
      <c r="S202" s="41" t="str">
        <f aca="false">IF(OR(K202="",G202=""),"",K202+N(L202))</f>
        <v/>
      </c>
      <c r="T202" s="41" t="str">
        <f aca="false">IF(OR(K202="",G202=""),"",S202*Settings!$B$10)</f>
        <v/>
      </c>
      <c r="U202" s="41" t="str">
        <f aca="false">IF(OR(K202="",G202=""),"",(S202+T202)*IF(N202="",Settings!$B$5,N202))</f>
        <v/>
      </c>
      <c r="V202" s="41" t="str">
        <f aca="false">IF(OR(K202="",G202=""),"",IF(S202+T202&lt;=Settings!$B$8,Settings!$B$6,Settings!$B$7))</f>
        <v/>
      </c>
      <c r="W202" s="41" t="str">
        <f aca="false">IF(OR(K202="",G202=""),"",S202*IF(UPPER(O202)="Y",Settings!$B$9,0))</f>
        <v/>
      </c>
      <c r="X202" s="41" t="str">
        <f aca="false">IF(OR(K202="",G202=""),"",(S202+T202)*IF(M202="",Settings!$B$11,M202))</f>
        <v/>
      </c>
      <c r="Y202" s="41" t="str">
        <f aca="false">IF(OR(K202="",G202=""),"",U202+V202+W202+X202)</f>
        <v/>
      </c>
      <c r="Z202" s="41" t="str">
        <f aca="false">IF(OR(K202="",G202=""),"",S202-Y202)</f>
        <v/>
      </c>
      <c r="AA202" s="41" t="str">
        <f aca="false">IF(OR(K202="",G202=""),"",Z202*Settings!$B$12)</f>
        <v/>
      </c>
      <c r="AB202" s="41" t="str">
        <f aca="false">IF(OR(K202="",G202=""),"",S202*Settings!$B$13)</f>
        <v/>
      </c>
      <c r="AC202" s="44" t="str">
        <f aca="false">IF(OR(K202="",G202=""),"",Z202-AA202-AB202-J202)</f>
        <v/>
      </c>
      <c r="AD202" s="45" t="str">
        <f aca="false">IF(OR(K202="",G202=""),"",AC202*Settings!$B$14)</f>
        <v/>
      </c>
      <c r="AE202" s="43" t="str">
        <f aca="false">IF(OR(K202="",G202=""),"",IF(S202=0,"",AC202/S202))</f>
        <v/>
      </c>
      <c r="AF202" s="43" t="str">
        <f aca="false">IF(OR(K202="",G202=""),"",IF(J202=0,"",AC202/J202))</f>
        <v/>
      </c>
      <c r="AG202" s="41" t="str">
        <f aca="false">IF(OR(K202="",G202=""),"",(J202+V202)/(1-(1+Settings!$B$10)*(IF(N202="",Settings!$B$5,N202)+IF(M202="",Settings!$B$11,M202))-IF(UPPER(O202)="Y",Settings!$B$9,0)-Settings!$B$13-Settings!$B$12)-N(L202))</f>
        <v/>
      </c>
      <c r="AH202" s="41" t="str">
        <f aca="false">IF(OR(K202="",G202=""),"",(J202+V202+Settings!$B$15)/(1-(1+Settings!$B$10)*(IF(N202="",Settings!$B$5,N202)+IF(M202="",Settings!$B$11,M202))-IF(UPPER(O202)="Y",Settings!$B$9,0)-Settings!$B$13-Settings!$B$12)-N(L202))</f>
        <v/>
      </c>
      <c r="AI202" s="46" t="str">
        <f aca="false">IF(C202="","",IF(OR(ISNUMBER(SEARCH("amazon",C202)),ISNUMBER(SEARCH("walmart",C202)),ISNUMBER(SEARCH("aliexpress",C202)),ISNUMBER(SEARCH("temu",C202))),"⚠ Retail source — not allowed","✓ Wholesale / own stock"))</f>
        <v/>
      </c>
      <c r="AJ202" s="47" t="str">
        <f aca="false">IF(OR(K202="",G202=""),"",IF(LEFT(AI202,1)="⚠","❌ SKIP",IF(AND(AC202&gt;=Settings!$B$15,AF202&gt;=Settings!$B$16,OR(R202="",N(R202)&gt;=Settings!$B$17)),"✅ GO",IF(AC202&gt;0,"⚠ CHECK","❌ SKIP"))))</f>
        <v/>
      </c>
      <c r="AK202" s="38"/>
    </row>
    <row r="203" customFormat="false" ht="15" hidden="false" customHeight="false" outlineLevel="0" collapsed="false">
      <c r="A203" s="37" t="str">
        <f aca="false">IF(B203="","",ROW()-4)</f>
        <v/>
      </c>
      <c r="B203" s="38"/>
      <c r="C203" s="39"/>
      <c r="D203" s="38"/>
      <c r="E203" s="38"/>
      <c r="F203" s="38"/>
      <c r="G203" s="40"/>
      <c r="H203" s="40"/>
      <c r="I203" s="40"/>
      <c r="J203" s="41" t="str">
        <f aca="false">IF(G203="","",G203+N(H203)+N(I203))</f>
        <v/>
      </c>
      <c r="K203" s="40"/>
      <c r="L203" s="40"/>
      <c r="M203" s="42"/>
      <c r="N203" s="42"/>
      <c r="O203" s="39"/>
      <c r="P203" s="38"/>
      <c r="Q203" s="38"/>
      <c r="R203" s="43" t="str">
        <f aca="false">IF(OR(P203="",Q203=""),"",P203/(P203+Q203))</f>
        <v/>
      </c>
      <c r="S203" s="41" t="str">
        <f aca="false">IF(OR(K203="",G203=""),"",K203+N(L203))</f>
        <v/>
      </c>
      <c r="T203" s="41" t="str">
        <f aca="false">IF(OR(K203="",G203=""),"",S203*Settings!$B$10)</f>
        <v/>
      </c>
      <c r="U203" s="41" t="str">
        <f aca="false">IF(OR(K203="",G203=""),"",(S203+T203)*IF(N203="",Settings!$B$5,N203))</f>
        <v/>
      </c>
      <c r="V203" s="41" t="str">
        <f aca="false">IF(OR(K203="",G203=""),"",IF(S203+T203&lt;=Settings!$B$8,Settings!$B$6,Settings!$B$7))</f>
        <v/>
      </c>
      <c r="W203" s="41" t="str">
        <f aca="false">IF(OR(K203="",G203=""),"",S203*IF(UPPER(O203)="Y",Settings!$B$9,0))</f>
        <v/>
      </c>
      <c r="X203" s="41" t="str">
        <f aca="false">IF(OR(K203="",G203=""),"",(S203+T203)*IF(M203="",Settings!$B$11,M203))</f>
        <v/>
      </c>
      <c r="Y203" s="41" t="str">
        <f aca="false">IF(OR(K203="",G203=""),"",U203+V203+W203+X203)</f>
        <v/>
      </c>
      <c r="Z203" s="41" t="str">
        <f aca="false">IF(OR(K203="",G203=""),"",S203-Y203)</f>
        <v/>
      </c>
      <c r="AA203" s="41" t="str">
        <f aca="false">IF(OR(K203="",G203=""),"",Z203*Settings!$B$12)</f>
        <v/>
      </c>
      <c r="AB203" s="41" t="str">
        <f aca="false">IF(OR(K203="",G203=""),"",S203*Settings!$B$13)</f>
        <v/>
      </c>
      <c r="AC203" s="44" t="str">
        <f aca="false">IF(OR(K203="",G203=""),"",Z203-AA203-AB203-J203)</f>
        <v/>
      </c>
      <c r="AD203" s="45" t="str">
        <f aca="false">IF(OR(K203="",G203=""),"",AC203*Settings!$B$14)</f>
        <v/>
      </c>
      <c r="AE203" s="43" t="str">
        <f aca="false">IF(OR(K203="",G203=""),"",IF(S203=0,"",AC203/S203))</f>
        <v/>
      </c>
      <c r="AF203" s="43" t="str">
        <f aca="false">IF(OR(K203="",G203=""),"",IF(J203=0,"",AC203/J203))</f>
        <v/>
      </c>
      <c r="AG203" s="41" t="str">
        <f aca="false">IF(OR(K203="",G203=""),"",(J203+V203)/(1-(1+Settings!$B$10)*(IF(N203="",Settings!$B$5,N203)+IF(M203="",Settings!$B$11,M203))-IF(UPPER(O203)="Y",Settings!$B$9,0)-Settings!$B$13-Settings!$B$12)-N(L203))</f>
        <v/>
      </c>
      <c r="AH203" s="41" t="str">
        <f aca="false">IF(OR(K203="",G203=""),"",(J203+V203+Settings!$B$15)/(1-(1+Settings!$B$10)*(IF(N203="",Settings!$B$5,N203)+IF(M203="",Settings!$B$11,M203))-IF(UPPER(O203)="Y",Settings!$B$9,0)-Settings!$B$13-Settings!$B$12)-N(L203))</f>
        <v/>
      </c>
      <c r="AI203" s="46" t="str">
        <f aca="false">IF(C203="","",IF(OR(ISNUMBER(SEARCH("amazon",C203)),ISNUMBER(SEARCH("walmart",C203)),ISNUMBER(SEARCH("aliexpress",C203)),ISNUMBER(SEARCH("temu",C203))),"⚠ Retail source — not allowed","✓ Wholesale / own stock"))</f>
        <v/>
      </c>
      <c r="AJ203" s="47" t="str">
        <f aca="false">IF(OR(K203="",G203=""),"",IF(LEFT(AI203,1)="⚠","❌ SKIP",IF(AND(AC203&gt;=Settings!$B$15,AF203&gt;=Settings!$B$16,OR(R203="",N(R203)&gt;=Settings!$B$17)),"✅ GO",IF(AC203&gt;0,"⚠ CHECK","❌ SKIP"))))</f>
        <v/>
      </c>
      <c r="AK203" s="38"/>
    </row>
    <row r="204" customFormat="false" ht="15" hidden="false" customHeight="false" outlineLevel="0" collapsed="false">
      <c r="A204" s="37" t="str">
        <f aca="false">IF(B204="","",ROW()-4)</f>
        <v/>
      </c>
      <c r="B204" s="38"/>
      <c r="C204" s="39"/>
      <c r="D204" s="38"/>
      <c r="E204" s="38"/>
      <c r="F204" s="38"/>
      <c r="G204" s="40"/>
      <c r="H204" s="40"/>
      <c r="I204" s="40"/>
      <c r="J204" s="41" t="str">
        <f aca="false">IF(G204="","",G204+N(H204)+N(I204))</f>
        <v/>
      </c>
      <c r="K204" s="40"/>
      <c r="L204" s="40"/>
      <c r="M204" s="42"/>
      <c r="N204" s="42"/>
      <c r="O204" s="39"/>
      <c r="P204" s="38"/>
      <c r="Q204" s="38"/>
      <c r="R204" s="43" t="str">
        <f aca="false">IF(OR(P204="",Q204=""),"",P204/(P204+Q204))</f>
        <v/>
      </c>
      <c r="S204" s="41" t="str">
        <f aca="false">IF(OR(K204="",G204=""),"",K204+N(L204))</f>
        <v/>
      </c>
      <c r="T204" s="41" t="str">
        <f aca="false">IF(OR(K204="",G204=""),"",S204*Settings!$B$10)</f>
        <v/>
      </c>
      <c r="U204" s="41" t="str">
        <f aca="false">IF(OR(K204="",G204=""),"",(S204+T204)*IF(N204="",Settings!$B$5,N204))</f>
        <v/>
      </c>
      <c r="V204" s="41" t="str">
        <f aca="false">IF(OR(K204="",G204=""),"",IF(S204+T204&lt;=Settings!$B$8,Settings!$B$6,Settings!$B$7))</f>
        <v/>
      </c>
      <c r="W204" s="41" t="str">
        <f aca="false">IF(OR(K204="",G204=""),"",S204*IF(UPPER(O204)="Y",Settings!$B$9,0))</f>
        <v/>
      </c>
      <c r="X204" s="41" t="str">
        <f aca="false">IF(OR(K204="",G204=""),"",(S204+T204)*IF(M204="",Settings!$B$11,M204))</f>
        <v/>
      </c>
      <c r="Y204" s="41" t="str">
        <f aca="false">IF(OR(K204="",G204=""),"",U204+V204+W204+X204)</f>
        <v/>
      </c>
      <c r="Z204" s="41" t="str">
        <f aca="false">IF(OR(K204="",G204=""),"",S204-Y204)</f>
        <v/>
      </c>
      <c r="AA204" s="41" t="str">
        <f aca="false">IF(OR(K204="",G204=""),"",Z204*Settings!$B$12)</f>
        <v/>
      </c>
      <c r="AB204" s="41" t="str">
        <f aca="false">IF(OR(K204="",G204=""),"",S204*Settings!$B$13)</f>
        <v/>
      </c>
      <c r="AC204" s="44" t="str">
        <f aca="false">IF(OR(K204="",G204=""),"",Z204-AA204-AB204-J204)</f>
        <v/>
      </c>
      <c r="AD204" s="45" t="str">
        <f aca="false">IF(OR(K204="",G204=""),"",AC204*Settings!$B$14)</f>
        <v/>
      </c>
      <c r="AE204" s="43" t="str">
        <f aca="false">IF(OR(K204="",G204=""),"",IF(S204=0,"",AC204/S204))</f>
        <v/>
      </c>
      <c r="AF204" s="43" t="str">
        <f aca="false">IF(OR(K204="",G204=""),"",IF(J204=0,"",AC204/J204))</f>
        <v/>
      </c>
      <c r="AG204" s="41" t="str">
        <f aca="false">IF(OR(K204="",G204=""),"",(J204+V204)/(1-(1+Settings!$B$10)*(IF(N204="",Settings!$B$5,N204)+IF(M204="",Settings!$B$11,M204))-IF(UPPER(O204)="Y",Settings!$B$9,0)-Settings!$B$13-Settings!$B$12)-N(L204))</f>
        <v/>
      </c>
      <c r="AH204" s="41" t="str">
        <f aca="false">IF(OR(K204="",G204=""),"",(J204+V204+Settings!$B$15)/(1-(1+Settings!$B$10)*(IF(N204="",Settings!$B$5,N204)+IF(M204="",Settings!$B$11,M204))-IF(UPPER(O204)="Y",Settings!$B$9,0)-Settings!$B$13-Settings!$B$12)-N(L204))</f>
        <v/>
      </c>
      <c r="AI204" s="46" t="str">
        <f aca="false">IF(C204="","",IF(OR(ISNUMBER(SEARCH("amazon",C204)),ISNUMBER(SEARCH("walmart",C204)),ISNUMBER(SEARCH("aliexpress",C204)),ISNUMBER(SEARCH("temu",C204))),"⚠ Retail source — not allowed","✓ Wholesale / own stock"))</f>
        <v/>
      </c>
      <c r="AJ204" s="47" t="str">
        <f aca="false">IF(OR(K204="",G204=""),"",IF(LEFT(AI204,1)="⚠","❌ SKIP",IF(AND(AC204&gt;=Settings!$B$15,AF204&gt;=Settings!$B$16,OR(R204="",N(R204)&gt;=Settings!$B$17)),"✅ GO",IF(AC204&gt;0,"⚠ CHECK","❌ SKIP"))))</f>
        <v/>
      </c>
      <c r="AK204" s="38"/>
    </row>
  </sheetData>
  <autoFilter ref="A4:AK204"/>
  <mergeCells count="8">
    <mergeCell ref="A3:F3"/>
    <mergeCell ref="G3:J3"/>
    <mergeCell ref="K3:O3"/>
    <mergeCell ref="P3:R3"/>
    <mergeCell ref="S3:Y3"/>
    <mergeCell ref="Z3:AF3"/>
    <mergeCell ref="AG3:AH3"/>
    <mergeCell ref="AI3:AK3"/>
  </mergeCells>
  <conditionalFormatting sqref="AJ5:AJ204">
    <cfRule type="expression" priority="2" aboveAverage="0" equalAverage="0" bottom="0" percent="0" rank="0" text="" dxfId="19">
      <formula>LEFT(AJ5,1)="✅"</formula>
    </cfRule>
    <cfRule type="expression" priority="3" aboveAverage="0" equalAverage="0" bottom="0" percent="0" rank="0" text="" dxfId="20">
      <formula>LEFT(AJ5,1)="⚠"</formula>
    </cfRule>
    <cfRule type="expression" priority="4" aboveAverage="0" equalAverage="0" bottom="0" percent="0" rank="0" text="" dxfId="21">
      <formula>LEFT(AJ5,1)="❌"</formula>
    </cfRule>
  </conditionalFormatting>
  <conditionalFormatting sqref="AI5:AI204">
    <cfRule type="expression" priority="5" aboveAverage="0" equalAverage="0" bottom="0" percent="0" rank="0" text="" dxfId="22">
      <formula>LEFT(AI5,1)="⚠"</formula>
    </cfRule>
  </conditionalFormatting>
  <conditionalFormatting sqref="AC5:AC204">
    <cfRule type="expression" priority="6" aboveAverage="0" equalAverage="0" bottom="0" percent="0" rank="0" text="" dxfId="23">
      <formula>AND(ISNUMBER(AC5),AC5&gt;=Settings!$B$15)</formula>
    </cfRule>
  </conditionalFormatting>
  <conditionalFormatting sqref="AF5:AF204">
    <cfRule type="dataBar" priority="7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{43CDCD90-11F8-4D35-83AF-1CA953B06F4A}</x14:id>
        </ext>
      </extLst>
    </cfRule>
  </conditionalFormatting>
  <dataValidations count="2">
    <dataValidation allowBlank="true" errorStyle="stop" operator="between" showDropDown="false" showErrorMessage="false" showInputMessage="false" sqref="C5:C204" type="list">
      <formula1>"Alibaba,CJ Dropshipping,Own Stock (Pakistan),Local Wholesale,Amazon,Walmart,AliExpress,Temu,Other"</formula1>
      <formula2>0</formula2>
    </dataValidation>
    <dataValidation allowBlank="true" errorStyle="stop" operator="between" showDropDown="false" showErrorMessage="false" showInputMessage="false" sqref="O5:O204" type="list">
      <formula1>"N,Y"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CDCD90-11F8-4D35-83AF-1CA953B06F4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AF5:AF204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2" customFormat="false" ht="15" hidden="false" customHeight="false" outlineLevel="0" collapsed="false">
      <c r="B2" s="48" t="s">
        <v>108</v>
      </c>
    </row>
    <row r="3" customFormat="false" ht="15" hidden="false" customHeight="false" outlineLevel="0" collapsed="false">
      <c r="B3" s="49" t="s">
        <v>109</v>
      </c>
    </row>
    <row r="4" customFormat="false" ht="15" hidden="false" customHeight="false" outlineLevel="0" collapsed="false">
      <c r="B4" s="49" t="s">
        <v>110</v>
      </c>
    </row>
    <row r="5" customFormat="false" ht="15" hidden="false" customHeight="false" outlineLevel="0" collapsed="false">
      <c r="B5" s="49" t="s">
        <v>111</v>
      </c>
    </row>
    <row r="6" customFormat="false" ht="15" hidden="false" customHeight="false" outlineLevel="0" collapsed="false">
      <c r="B6" s="49" t="s">
        <v>112</v>
      </c>
    </row>
    <row r="7" customFormat="false" ht="15" hidden="false" customHeight="false" outlineLevel="0" collapsed="false">
      <c r="B7" s="49"/>
    </row>
    <row r="8" customFormat="false" ht="15" hidden="false" customHeight="false" outlineLevel="0" collapsed="false">
      <c r="B8" s="48" t="s">
        <v>113</v>
      </c>
    </row>
    <row r="9" customFormat="false" ht="15" hidden="false" customHeight="false" outlineLevel="0" collapsed="false">
      <c r="B9" s="49" t="s">
        <v>114</v>
      </c>
    </row>
    <row r="10" customFormat="false" ht="15" hidden="false" customHeight="false" outlineLevel="0" collapsed="false">
      <c r="B10" s="49" t="s">
        <v>115</v>
      </c>
    </row>
    <row r="11" customFormat="false" ht="15" hidden="false" customHeight="false" outlineLevel="0" collapsed="false">
      <c r="B11" s="49" t="s">
        <v>116</v>
      </c>
    </row>
    <row r="12" customFormat="false" ht="15" hidden="false" customHeight="false" outlineLevel="0" collapsed="false">
      <c r="B12" s="49"/>
    </row>
    <row r="13" customFormat="false" ht="15" hidden="false" customHeight="false" outlineLevel="0" collapsed="false">
      <c r="B13" s="48" t="s">
        <v>117</v>
      </c>
    </row>
    <row r="14" customFormat="false" ht="23.85" hidden="false" customHeight="false" outlineLevel="0" collapsed="false">
      <c r="B14" s="49" t="s">
        <v>118</v>
      </c>
    </row>
    <row r="15" customFormat="false" ht="15" hidden="false" customHeight="false" outlineLevel="0" collapsed="false">
      <c r="B15" s="49" t="s">
        <v>119</v>
      </c>
    </row>
    <row r="16" customFormat="false" ht="15" hidden="false" customHeight="false" outlineLevel="0" collapsed="false">
      <c r="B16" s="49" t="s">
        <v>120</v>
      </c>
    </row>
    <row r="17" customFormat="false" ht="15" hidden="false" customHeight="false" outlineLevel="0" collapsed="false">
      <c r="B17" s="49" t="s">
        <v>121</v>
      </c>
    </row>
    <row r="18" customFormat="false" ht="15" hidden="false" customHeight="false" outlineLevel="0" collapsed="false">
      <c r="B18" s="49"/>
    </row>
    <row r="19" customFormat="false" ht="15" hidden="false" customHeight="false" outlineLevel="0" collapsed="false">
      <c r="B19" s="48" t="s">
        <v>122</v>
      </c>
    </row>
    <row r="20" customFormat="false" ht="15" hidden="false" customHeight="false" outlineLevel="0" collapsed="false">
      <c r="B20" s="49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2026-10-20T11:42:32Z</dcterms:created>
  <dc:creator>openpyxl</dc:creator>
  <dc:description/>
  <dc:language>en-US</dc:language>
  <cp:lastModifiedBy/>
  <dcterms:modified xsi:type="dcterms:W3CDTF">2026-10-20T11:42:33Z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